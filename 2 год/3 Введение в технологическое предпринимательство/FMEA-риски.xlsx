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name\Desktop\"/>
    </mc:Choice>
  </mc:AlternateContent>
  <xr:revisionPtr revIDLastSave="0" documentId="13_ncr:1_{2FED4534-7C83-4F9E-86CC-E4189B5806FB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Риски" sheetId="1" r:id="rId1"/>
    <sheet name="Пример" sheetId="2" r:id="rId2"/>
    <sheet name="Пример 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CxswPGhHh5n5gpqm/BXY/71zaAT3qZPGgn5UIYLwcxw="/>
    </ext>
  </extLst>
</workbook>
</file>

<file path=xl/calcChain.xml><?xml version="1.0" encoding="utf-8"?>
<calcChain xmlns="http://schemas.openxmlformats.org/spreadsheetml/2006/main">
  <c r="P27" i="2" l="1"/>
  <c r="M27" i="2"/>
  <c r="P26" i="2"/>
  <c r="M26" i="2"/>
  <c r="P25" i="2"/>
  <c r="M25" i="2"/>
  <c r="P24" i="2"/>
  <c r="M24" i="2"/>
  <c r="P22" i="2"/>
  <c r="M22" i="2"/>
  <c r="P20" i="2"/>
  <c r="M20" i="2"/>
  <c r="H20" i="2"/>
  <c r="P19" i="2"/>
  <c r="M19" i="2"/>
  <c r="P18" i="2"/>
  <c r="M18" i="2"/>
  <c r="P17" i="2"/>
  <c r="M17" i="2"/>
  <c r="P16" i="2"/>
  <c r="M16" i="2"/>
  <c r="P14" i="2"/>
  <c r="M14" i="2"/>
  <c r="P12" i="2"/>
  <c r="M12" i="2"/>
  <c r="H12" i="2"/>
  <c r="P11" i="2"/>
  <c r="M11" i="2"/>
  <c r="P10" i="2"/>
  <c r="M10" i="2"/>
  <c r="P9" i="2"/>
  <c r="M9" i="2"/>
  <c r="P8" i="2"/>
  <c r="M8" i="2"/>
  <c r="P5" i="2"/>
  <c r="M5" i="2"/>
  <c r="P3" i="2"/>
  <c r="M3" i="2"/>
  <c r="H3" i="2"/>
  <c r="O21" i="1"/>
  <c r="L21" i="1"/>
  <c r="O20" i="1"/>
  <c r="L20" i="1"/>
  <c r="G20" i="1"/>
  <c r="O19" i="1"/>
  <c r="L19" i="1"/>
  <c r="O18" i="1"/>
  <c r="L18" i="1"/>
  <c r="G18" i="1"/>
  <c r="O17" i="1"/>
  <c r="L17" i="1"/>
  <c r="O16" i="1"/>
  <c r="L16" i="1"/>
  <c r="G16" i="1"/>
  <c r="O15" i="1"/>
  <c r="L15" i="1"/>
  <c r="O14" i="1"/>
  <c r="L14" i="1"/>
  <c r="G14" i="1"/>
  <c r="O13" i="1"/>
  <c r="L13" i="1"/>
  <c r="O12" i="1"/>
  <c r="L12" i="1"/>
  <c r="G12" i="1"/>
  <c r="O11" i="1"/>
  <c r="L11" i="1"/>
  <c r="O10" i="1"/>
  <c r="L10" i="1"/>
  <c r="G10" i="1"/>
  <c r="O9" i="1"/>
  <c r="L9" i="1"/>
  <c r="O8" i="1"/>
  <c r="L8" i="1"/>
  <c r="G8" i="1"/>
  <c r="O7" i="1"/>
  <c r="L7" i="1"/>
  <c r="O6" i="1"/>
  <c r="L6" i="1"/>
  <c r="G6" i="1"/>
  <c r="O5" i="1"/>
  <c r="L5" i="1"/>
  <c r="O4" i="1"/>
  <c r="L4" i="1"/>
  <c r="G4" i="1"/>
  <c r="O3" i="1"/>
  <c r="L3" i="1"/>
  <c r="O2" i="1"/>
  <c r="L2" i="1"/>
  <c r="G2" i="1"/>
</calcChain>
</file>

<file path=xl/sharedStrings.xml><?xml version="1.0" encoding="utf-8"?>
<sst xmlns="http://schemas.openxmlformats.org/spreadsheetml/2006/main" count="116" uniqueCount="99">
  <si>
    <t>Риск</t>
  </si>
  <si>
    <t>Последствия</t>
  </si>
  <si>
    <t>S (тяжесть) (1-10)</t>
  </si>
  <si>
    <t>Причины</t>
  </si>
  <si>
    <t>P (вероятность) (1-10)</t>
  </si>
  <si>
    <t>D (сложность обнаружения) (1-10)</t>
  </si>
  <si>
    <t>Индекс риска</t>
  </si>
  <si>
    <t>Как нивелировать риск?</t>
  </si>
  <si>
    <t>S</t>
  </si>
  <si>
    <t>P</t>
  </si>
  <si>
    <t>D</t>
  </si>
  <si>
    <t>SPD</t>
  </si>
  <si>
    <t>T (техническая сложность) (1-10)</t>
  </si>
  <si>
    <t>C (стоимость) (1-10)</t>
  </si>
  <si>
    <t>Общий индекс</t>
  </si>
  <si>
    <t>Появление сильного конкурента/копирование идеи</t>
  </si>
  <si>
    <t>Перехват трафика и брендов, снижение доли рынка</t>
  </si>
  <si>
    <t>Низкие барьеры входа, зависимость от открытых платформ</t>
  </si>
  <si>
    <t>Узкая ниша и эксклюзивные партнёрства</t>
  </si>
  <si>
    <t>Созданием преданного комьюнити</t>
  </si>
  <si>
    <t>Непрелевантные рекомендации образов</t>
  </si>
  <si>
    <t>Низкая конверсия и вовлечённость; отток пользователей и брендов</t>
  </si>
  <si>
    <t>Недостаток данных (cold start), неверная разметка, отсутствие валидации стилистами</t>
  </si>
  <si>
    <t>Валидация первых выпусков стилистами, тесты выдачи</t>
  </si>
  <si>
    <t>Обучение на пользовательских оценках, активный сбор обратной связи и регулярная переобучаемость модели.</t>
  </si>
  <si>
    <t>Снижение лояльности и удержания пользователей</t>
  </si>
  <si>
    <t>Отток пользователей/брендов/инфлюенсеров, падение выручки</t>
  </si>
  <si>
    <t>Скучный контент, отсутствие пользы, нерегулярная коммуникация</t>
  </si>
  <si>
    <t>Персональные подборки/планы</t>
  </si>
  <si>
    <t>Улучшение пользовательского опыта, геймификация</t>
  </si>
  <si>
    <t>Недоступность сервиса/утрата доступа</t>
  </si>
  <si>
    <t>Потеря транзакций, репутационные издержки</t>
  </si>
  <si>
    <t>Нестабильная инфраструктура, отсутствие резервирования, ошибки авторизации/обновлений</t>
  </si>
  <si>
    <t>Алерты, резервирование и план восстановления</t>
  </si>
  <si>
    <t>Бэкапы и регламенты инцидентов</t>
  </si>
  <si>
    <t>Репутационные проблемы у инфлюенсеров/брендов в коллаборации</t>
  </si>
  <si>
    <t>Негатив к платформе, отписки, PR‑кризис</t>
  </si>
  <si>
    <t>Недостаточный due‑diligence партнёров, отсутствие правил поведения</t>
  </si>
  <si>
    <t>Право вето на публикации</t>
  </si>
  <si>
    <t>Шаблоны антикризисных коммуникаций</t>
  </si>
  <si>
    <t>Невыгодные условия для брендов (непрозрачная экономика)</t>
  </si>
  <si>
    <t>Отток партнёров, ухудшение ассортимента</t>
  </si>
  <si>
    <t>Высокие комиссии, сложные правила, задержки выплат</t>
  </si>
  <si>
    <t>Прозрачные отчёты, личные кабинеты с аналитикой</t>
  </si>
  <si>
    <t>Бонусные за оборот</t>
  </si>
  <si>
    <t>Нарушение авторских прав/прав на изображения</t>
  </si>
  <si>
    <t>Иски/штрафы, снятие контента, репутационные потери</t>
  </si>
  <si>
    <t>Нет согласий моделей/авторов, неправильные лицензии</t>
  </si>
  <si>
    <t>Хранение согласий и проверка лицензий</t>
  </si>
  <si>
    <t>Предмодерация спорных материалов</t>
  </si>
  <si>
    <t>Утечка персональных данных/нарушение конфиденциальности</t>
  </si>
  <si>
    <t>Штрафы, блокировки, потеря доверия</t>
  </si>
  <si>
    <t>Слабая безопасность, ошибочные настройки доступа, отсутствие шифрования</t>
  </si>
  <si>
    <t>Шифрование и контроль доступов</t>
  </si>
  <si>
    <t>Регулярные аудиты и баг‑баунти/пентесты</t>
  </si>
  <si>
    <t>Низкая посещаемость офлайн‑выставки/шоурума</t>
  </si>
  <si>
    <t>Недополучение лидов, низкая окупаемость и PR‑эффект</t>
  </si>
  <si>
    <t>Слабый медиа‑план, плохая локация/тайминг, конкурирующие события</t>
  </si>
  <si>
    <t>Партнёрские кросс‑промо</t>
  </si>
  <si>
    <t>Реклама, приглашение инфлюенсеров, коллаборации</t>
  </si>
  <si>
    <t>падение конверсии и удержания, недовольство брендов</t>
  </si>
  <si>
    <t xml:space="preserve">cold start (мало данных), проблемы в алгоритмах рекомендаций, баги в фильтрах/реранкинге  </t>
  </si>
  <si>
    <t>периодические бэкапы и регламенты инцидентов</t>
  </si>
  <si>
    <t>аптайм-мониторинг</t>
  </si>
  <si>
    <t xml:space="preserve"> </t>
  </si>
  <si>
    <t>S 
 тяжесть (1-10)</t>
  </si>
  <si>
    <t>P возникновение (1-10)</t>
  </si>
  <si>
    <t>D сложность обнаружение (1-10)</t>
  </si>
  <si>
    <t>перехват трафика и брендов, падение доли рынка</t>
  </si>
  <si>
    <t>низкие барьеры входа</t>
  </si>
  <si>
    <t>выбор узкой ниши</t>
  </si>
  <si>
    <t>data-moat: свой датасет вкусов/замен</t>
  </si>
  <si>
    <t>отсутствие эксклюзивов</t>
  </si>
  <si>
    <t>эксклюзивные партнёрства с брендами</t>
  </si>
  <si>
    <t>долгосрочные контракты, co-marketing, SLA контента</t>
  </si>
  <si>
    <t>отсутствие преданно фанбазы</t>
  </si>
  <si>
    <t>активные соцсети и коллаборации</t>
  </si>
  <si>
    <t>реферальная программа и комьюнити ивенты</t>
  </si>
  <si>
    <t>cold start (мало данных)</t>
  </si>
  <si>
    <t>базовые фильтры по атрибутам</t>
  </si>
  <si>
    <t>ручная разметка, курируемый контент</t>
  </si>
  <si>
    <t>проблемы в алгоритмах рекомендаций</t>
  </si>
  <si>
    <t>мониторинг CTR, skip rate, метрики</t>
  </si>
  <si>
    <t>анализ алгоритмов рекомендаций и код-ревью</t>
  </si>
  <si>
    <t>баги в фильтрах реранкинге</t>
  </si>
  <si>
    <t>точечная ручная проверка выпусков</t>
  </si>
  <si>
    <t>юнит тесты и контроль качества</t>
  </si>
  <si>
    <t>Недоступность сервиса / утрата доступа</t>
  </si>
  <si>
    <t>нестабильная инфраструктура</t>
  </si>
  <si>
    <t>аптайм-мониторинг и алерты</t>
  </si>
  <si>
    <t>резерв по ресурсам, стресс-тесты</t>
  </si>
  <si>
    <t>отсутствие резервирования</t>
  </si>
  <si>
    <t>репликация и отказоустойчивость</t>
  </si>
  <si>
    <t>регулярные бэкапы и тест восстановления</t>
  </si>
  <si>
    <t>ошибки авторизации/обновлений</t>
  </si>
  <si>
    <t>дублирующий вход (SSO/backup-канал)</t>
  </si>
  <si>
    <t>поэтапное развертывание, флаги функций</t>
  </si>
  <si>
    <t>Тяжесть</t>
  </si>
  <si>
    <t>Вероятность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</si>
</sst>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11">
    <font>
      <sz val="10"/>
      <color rgb="FF000000"/>
      <name val="Arial"/>
      <scheme val="minor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0"/>
      <color theme="1"/>
      <name val="Arial"/>
      <scheme val="minor"/>
    </font>
    <font>
      <sz val="11"/>
      <color rgb="FF000000"/>
      <name val="Arial"/>
    </font>
    <font>
      <sz val="10"/>
      <color theme="1"/>
      <name val="Arial"/>
    </font>
    <font>
      <b/>
      <sz val="11"/>
      <color rgb="FF000000"/>
      <name val="Calibri"/>
    </font>
    <font>
      <sz val="10"/>
      <name val="Arial"/>
    </font>
    <font>
      <sz val="10"/>
      <color rgb="FF000000"/>
      <name val="Arial"/>
    </font>
    <font>
      <sz val="11"/>
      <color rgb="FF000000"/>
      <name val="Calibri"/>
    </font>
    <font>
      <b/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9138"/>
        <bgColor rgb="FFE69138"/>
      </patternFill>
    </fill>
    <fill>
      <patternFill patternType="solid">
        <fgColor rgb="FF45C3B3"/>
        <bgColor rgb="FF45C3B3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9" fillId="3" borderId="3" xfId="0" applyFont="1" applyFill="1" applyBorder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6" borderId="3" xfId="0" applyFont="1" applyFill="1" applyBorder="1" applyAlignment="1">
      <alignment horizontal="center"/>
    </xf>
    <xf numFmtId="164" fontId="5" fillId="6" borderId="3" xfId="0" applyNumberFormat="1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0" fillId="0" borderId="0" xfId="0"/>
    <xf numFmtId="0" fontId="2" fillId="0" borderId="0" xfId="0" applyFont="1" applyAlignment="1">
      <alignment horizontal="right"/>
    </xf>
    <xf numFmtId="0" fontId="9" fillId="0" borderId="4" xfId="0" applyFont="1" applyBorder="1" applyAlignment="1">
      <alignment horizontal="center" vertical="center" wrapText="1"/>
    </xf>
    <xf numFmtId="0" fontId="7" fillId="0" borderId="10" xfId="0" applyFont="1" applyBorder="1"/>
    <xf numFmtId="0" fontId="9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/>
    <xf numFmtId="0" fontId="7" fillId="0" borderId="7" xfId="0" applyFont="1" applyBorder="1"/>
    <xf numFmtId="0" fontId="9" fillId="0" borderId="6" xfId="0" applyFont="1" applyBorder="1" applyAlignment="1">
      <alignment horizontal="center" vertical="center" wrapText="1"/>
    </xf>
    <xf numFmtId="0" fontId="7" fillId="0" borderId="9" xfId="0" applyFont="1" applyBorder="1"/>
    <xf numFmtId="0" fontId="7" fillId="0" borderId="13" xfId="0" applyFont="1" applyBorder="1"/>
    <xf numFmtId="0" fontId="9" fillId="2" borderId="5" xfId="0" applyFont="1" applyFill="1" applyBorder="1" applyAlignment="1">
      <alignment horizontal="center" vertical="center" wrapText="1"/>
    </xf>
    <xf numFmtId="0" fontId="7" fillId="0" borderId="8" xfId="0" applyFont="1" applyBorder="1"/>
    <xf numFmtId="0" fontId="7" fillId="0" borderId="11" xfId="0" applyFont="1" applyBorder="1"/>
    <xf numFmtId="0" fontId="9" fillId="3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textRotation="90"/>
    </xf>
    <xf numFmtId="0" fontId="1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workbookViewId="0"/>
  </sheetViews>
  <sheetFormatPr defaultColWidth="12.6328125" defaultRowHeight="15" customHeight="1"/>
  <cols>
    <col min="1" max="26" width="25.7265625" customWidth="1"/>
  </cols>
  <sheetData>
    <row r="1" spans="1:15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1.75" customHeight="1">
      <c r="A2" s="24" t="s">
        <v>15</v>
      </c>
      <c r="B2" s="24" t="s">
        <v>16</v>
      </c>
      <c r="C2" s="24">
        <v>7</v>
      </c>
      <c r="D2" s="24" t="s">
        <v>17</v>
      </c>
      <c r="E2" s="24">
        <v>7</v>
      </c>
      <c r="F2" s="24">
        <v>7</v>
      </c>
      <c r="G2" s="26">
        <f>C2*E2*F2</f>
        <v>343</v>
      </c>
      <c r="H2" s="4" t="s">
        <v>18</v>
      </c>
      <c r="I2" s="4">
        <v>7</v>
      </c>
      <c r="J2" s="4">
        <v>5</v>
      </c>
      <c r="K2" s="4">
        <v>6</v>
      </c>
      <c r="L2" s="3">
        <f t="shared" ref="L2:L21" si="0">I2*J2*K2</f>
        <v>210</v>
      </c>
      <c r="M2" s="4">
        <v>3</v>
      </c>
      <c r="N2" s="4">
        <v>4</v>
      </c>
      <c r="O2" s="3">
        <f t="shared" ref="O2:O21" si="1">L2*M2*N2</f>
        <v>2520</v>
      </c>
    </row>
    <row r="3" spans="1:15" ht="21.75" customHeight="1">
      <c r="A3" s="25"/>
      <c r="B3" s="25"/>
      <c r="C3" s="25"/>
      <c r="D3" s="25"/>
      <c r="E3" s="25"/>
      <c r="F3" s="25"/>
      <c r="G3" s="25"/>
      <c r="H3" s="4" t="s">
        <v>19</v>
      </c>
      <c r="I3" s="4">
        <v>4</v>
      </c>
      <c r="J3" s="4">
        <v>5</v>
      </c>
      <c r="K3" s="4">
        <v>5</v>
      </c>
      <c r="L3" s="3">
        <f t="shared" si="0"/>
        <v>100</v>
      </c>
      <c r="M3" s="4">
        <v>5</v>
      </c>
      <c r="N3" s="4">
        <v>3</v>
      </c>
      <c r="O3" s="3">
        <f t="shared" si="1"/>
        <v>1500</v>
      </c>
    </row>
    <row r="4" spans="1:15" ht="21.75" customHeight="1">
      <c r="A4" s="24" t="s">
        <v>20</v>
      </c>
      <c r="B4" s="24" t="s">
        <v>21</v>
      </c>
      <c r="C4" s="24">
        <v>8</v>
      </c>
      <c r="D4" s="24" t="s">
        <v>22</v>
      </c>
      <c r="E4" s="24">
        <v>6</v>
      </c>
      <c r="F4" s="24">
        <v>6</v>
      </c>
      <c r="G4" s="26">
        <f>C4*E4*F4</f>
        <v>288</v>
      </c>
      <c r="H4" s="2" t="s">
        <v>23</v>
      </c>
      <c r="I4" s="4">
        <v>8</v>
      </c>
      <c r="J4" s="4">
        <v>6</v>
      </c>
      <c r="K4" s="4">
        <v>6</v>
      </c>
      <c r="L4" s="3">
        <f t="shared" si="0"/>
        <v>288</v>
      </c>
      <c r="M4" s="4">
        <v>5</v>
      </c>
      <c r="N4" s="4">
        <v>4</v>
      </c>
      <c r="O4" s="3">
        <f t="shared" si="1"/>
        <v>5760</v>
      </c>
    </row>
    <row r="5" spans="1:15" ht="21.75" customHeight="1">
      <c r="A5" s="25"/>
      <c r="B5" s="25"/>
      <c r="C5" s="25"/>
      <c r="D5" s="25"/>
      <c r="E5" s="25"/>
      <c r="F5" s="25"/>
      <c r="G5" s="25"/>
      <c r="H5" s="5" t="s">
        <v>24</v>
      </c>
      <c r="I5" s="4">
        <v>5</v>
      </c>
      <c r="J5" s="4">
        <v>5</v>
      </c>
      <c r="K5" s="4">
        <v>5</v>
      </c>
      <c r="L5" s="3">
        <f t="shared" si="0"/>
        <v>125</v>
      </c>
      <c r="M5" s="4">
        <v>6</v>
      </c>
      <c r="N5" s="4">
        <v>4</v>
      </c>
      <c r="O5" s="3">
        <f t="shared" si="1"/>
        <v>3000</v>
      </c>
    </row>
    <row r="6" spans="1:15" ht="21.75" customHeight="1">
      <c r="A6" s="24" t="s">
        <v>25</v>
      </c>
      <c r="B6" s="24" t="s">
        <v>26</v>
      </c>
      <c r="C6" s="24">
        <v>8</v>
      </c>
      <c r="D6" s="24" t="s">
        <v>27</v>
      </c>
      <c r="E6" s="24">
        <v>6</v>
      </c>
      <c r="F6" s="24">
        <v>6</v>
      </c>
      <c r="G6" s="26">
        <f>C6*E6*F6</f>
        <v>288</v>
      </c>
      <c r="H6" s="2" t="s">
        <v>28</v>
      </c>
      <c r="I6" s="4">
        <v>7</v>
      </c>
      <c r="J6" s="4">
        <v>7</v>
      </c>
      <c r="K6" s="4">
        <v>3</v>
      </c>
      <c r="L6" s="3">
        <f t="shared" si="0"/>
        <v>147</v>
      </c>
      <c r="M6" s="4">
        <v>3</v>
      </c>
      <c r="N6" s="4">
        <v>3</v>
      </c>
      <c r="O6" s="3">
        <f t="shared" si="1"/>
        <v>1323</v>
      </c>
    </row>
    <row r="7" spans="1:15" ht="21.75" customHeight="1">
      <c r="A7" s="25"/>
      <c r="B7" s="25"/>
      <c r="C7" s="25"/>
      <c r="D7" s="25"/>
      <c r="E7" s="25"/>
      <c r="F7" s="25"/>
      <c r="G7" s="25"/>
      <c r="H7" s="2" t="s">
        <v>29</v>
      </c>
      <c r="I7" s="4">
        <v>8</v>
      </c>
      <c r="J7" s="4">
        <v>5</v>
      </c>
      <c r="K7" s="4">
        <v>5</v>
      </c>
      <c r="L7" s="3">
        <f t="shared" si="0"/>
        <v>200</v>
      </c>
      <c r="M7" s="4">
        <v>4</v>
      </c>
      <c r="N7" s="4">
        <v>5</v>
      </c>
      <c r="O7" s="3">
        <f t="shared" si="1"/>
        <v>4000</v>
      </c>
    </row>
    <row r="8" spans="1:15" ht="21.75" customHeight="1">
      <c r="A8" s="24" t="s">
        <v>30</v>
      </c>
      <c r="B8" s="24" t="s">
        <v>31</v>
      </c>
      <c r="C8" s="24">
        <v>9</v>
      </c>
      <c r="D8" s="24" t="s">
        <v>32</v>
      </c>
      <c r="E8" s="24">
        <v>5</v>
      </c>
      <c r="F8" s="24">
        <v>5</v>
      </c>
      <c r="G8" s="26">
        <f>C8*E8*F8</f>
        <v>225</v>
      </c>
      <c r="H8" s="2" t="s">
        <v>33</v>
      </c>
      <c r="I8" s="4">
        <v>9</v>
      </c>
      <c r="J8" s="4">
        <v>4</v>
      </c>
      <c r="K8" s="4">
        <v>5</v>
      </c>
      <c r="L8" s="3">
        <f t="shared" si="0"/>
        <v>180</v>
      </c>
      <c r="M8" s="4">
        <v>4</v>
      </c>
      <c r="N8" s="4">
        <v>5</v>
      </c>
      <c r="O8" s="3">
        <f t="shared" si="1"/>
        <v>3600</v>
      </c>
    </row>
    <row r="9" spans="1:15" ht="21.75" customHeight="1">
      <c r="A9" s="25"/>
      <c r="B9" s="25"/>
      <c r="C9" s="25"/>
      <c r="D9" s="25"/>
      <c r="E9" s="25"/>
      <c r="F9" s="25"/>
      <c r="G9" s="25"/>
      <c r="H9" s="2" t="s">
        <v>34</v>
      </c>
      <c r="I9" s="4">
        <v>4</v>
      </c>
      <c r="J9" s="4">
        <v>5</v>
      </c>
      <c r="K9" s="4">
        <v>5</v>
      </c>
      <c r="L9" s="3">
        <f t="shared" si="0"/>
        <v>100</v>
      </c>
      <c r="M9" s="4">
        <v>6</v>
      </c>
      <c r="N9" s="4">
        <v>6</v>
      </c>
      <c r="O9" s="3">
        <f t="shared" si="1"/>
        <v>3600</v>
      </c>
    </row>
    <row r="10" spans="1:15" ht="21.75" customHeight="1">
      <c r="A10" s="24" t="s">
        <v>35</v>
      </c>
      <c r="B10" s="24" t="s">
        <v>36</v>
      </c>
      <c r="C10" s="24">
        <v>8</v>
      </c>
      <c r="D10" s="24" t="s">
        <v>37</v>
      </c>
      <c r="E10" s="24">
        <v>4</v>
      </c>
      <c r="F10" s="24">
        <v>7</v>
      </c>
      <c r="G10" s="26">
        <f>C10*E10*F10</f>
        <v>224</v>
      </c>
      <c r="H10" s="2" t="s">
        <v>38</v>
      </c>
      <c r="I10" s="4">
        <v>6</v>
      </c>
      <c r="J10" s="4">
        <v>7</v>
      </c>
      <c r="K10" s="4">
        <v>5</v>
      </c>
      <c r="L10" s="3">
        <f t="shared" si="0"/>
        <v>210</v>
      </c>
      <c r="M10" s="4">
        <v>2</v>
      </c>
      <c r="N10" s="4">
        <v>4</v>
      </c>
      <c r="O10" s="3">
        <f t="shared" si="1"/>
        <v>1680</v>
      </c>
    </row>
    <row r="11" spans="1:15" ht="21.75" customHeight="1">
      <c r="A11" s="25"/>
      <c r="B11" s="25"/>
      <c r="C11" s="25"/>
      <c r="D11" s="25"/>
      <c r="E11" s="25"/>
      <c r="F11" s="25"/>
      <c r="G11" s="25"/>
      <c r="H11" s="2" t="s">
        <v>39</v>
      </c>
      <c r="I11" s="4">
        <v>8</v>
      </c>
      <c r="J11" s="4">
        <v>4</v>
      </c>
      <c r="K11" s="4">
        <v>5</v>
      </c>
      <c r="L11" s="3">
        <f t="shared" si="0"/>
        <v>160</v>
      </c>
      <c r="M11" s="4">
        <v>3</v>
      </c>
      <c r="N11" s="4">
        <v>2</v>
      </c>
      <c r="O11" s="3">
        <f t="shared" si="1"/>
        <v>960</v>
      </c>
    </row>
    <row r="12" spans="1:15" ht="21.75" customHeight="1">
      <c r="A12" s="24" t="s">
        <v>40</v>
      </c>
      <c r="B12" s="24" t="s">
        <v>41</v>
      </c>
      <c r="C12" s="24">
        <v>7</v>
      </c>
      <c r="D12" s="24" t="s">
        <v>42</v>
      </c>
      <c r="E12" s="24">
        <v>5</v>
      </c>
      <c r="F12" s="24">
        <v>6</v>
      </c>
      <c r="G12" s="26">
        <f>C12*E12*F12</f>
        <v>210</v>
      </c>
      <c r="H12" s="2" t="s">
        <v>43</v>
      </c>
      <c r="I12" s="4">
        <v>6</v>
      </c>
      <c r="J12" s="4">
        <v>5</v>
      </c>
      <c r="K12" s="4">
        <v>7</v>
      </c>
      <c r="L12" s="3">
        <f t="shared" si="0"/>
        <v>210</v>
      </c>
      <c r="M12" s="4">
        <v>3</v>
      </c>
      <c r="N12" s="4">
        <v>5</v>
      </c>
      <c r="O12" s="3">
        <f t="shared" si="1"/>
        <v>3150</v>
      </c>
    </row>
    <row r="13" spans="1:15" ht="21.75" customHeight="1">
      <c r="A13" s="25"/>
      <c r="B13" s="25"/>
      <c r="C13" s="25"/>
      <c r="D13" s="25"/>
      <c r="E13" s="25"/>
      <c r="F13" s="25"/>
      <c r="G13" s="25"/>
      <c r="H13" s="2" t="s">
        <v>44</v>
      </c>
      <c r="I13" s="4">
        <v>7</v>
      </c>
      <c r="J13" s="4">
        <v>5</v>
      </c>
      <c r="K13" s="4">
        <v>4</v>
      </c>
      <c r="L13" s="3">
        <f t="shared" si="0"/>
        <v>140</v>
      </c>
      <c r="M13" s="4">
        <v>4</v>
      </c>
      <c r="N13" s="4">
        <v>3</v>
      </c>
      <c r="O13" s="3">
        <f t="shared" si="1"/>
        <v>1680</v>
      </c>
    </row>
    <row r="14" spans="1:15" ht="21.75" customHeight="1">
      <c r="A14" s="24" t="s">
        <v>45</v>
      </c>
      <c r="B14" s="24" t="s">
        <v>46</v>
      </c>
      <c r="C14" s="24">
        <v>8</v>
      </c>
      <c r="D14" s="24" t="s">
        <v>47</v>
      </c>
      <c r="E14" s="24">
        <v>4</v>
      </c>
      <c r="F14" s="24">
        <v>6</v>
      </c>
      <c r="G14" s="26">
        <f>C14*E14*F14</f>
        <v>192</v>
      </c>
      <c r="H14" s="2" t="s">
        <v>48</v>
      </c>
      <c r="I14" s="4">
        <v>8</v>
      </c>
      <c r="J14" s="4">
        <v>4</v>
      </c>
      <c r="K14" s="4">
        <v>5</v>
      </c>
      <c r="L14" s="3">
        <f t="shared" si="0"/>
        <v>160</v>
      </c>
      <c r="M14" s="4">
        <v>2</v>
      </c>
      <c r="N14" s="4">
        <v>5</v>
      </c>
      <c r="O14" s="3">
        <f t="shared" si="1"/>
        <v>1600</v>
      </c>
    </row>
    <row r="15" spans="1:15" ht="21.75" customHeight="1">
      <c r="A15" s="25"/>
      <c r="B15" s="25"/>
      <c r="C15" s="25"/>
      <c r="D15" s="25"/>
      <c r="E15" s="25"/>
      <c r="F15" s="25"/>
      <c r="G15" s="25"/>
      <c r="H15" s="5" t="s">
        <v>49</v>
      </c>
      <c r="I15" s="4">
        <v>8</v>
      </c>
      <c r="J15" s="4">
        <v>6</v>
      </c>
      <c r="K15" s="4">
        <v>4</v>
      </c>
      <c r="L15" s="3">
        <f t="shared" si="0"/>
        <v>192</v>
      </c>
      <c r="M15" s="4">
        <v>3</v>
      </c>
      <c r="N15" s="4">
        <v>3</v>
      </c>
      <c r="O15" s="3">
        <f t="shared" si="1"/>
        <v>1728</v>
      </c>
    </row>
    <row r="16" spans="1:15" ht="21.75" customHeight="1">
      <c r="A16" s="24" t="s">
        <v>50</v>
      </c>
      <c r="B16" s="24" t="s">
        <v>51</v>
      </c>
      <c r="C16" s="24">
        <v>9</v>
      </c>
      <c r="D16" s="24" t="s">
        <v>52</v>
      </c>
      <c r="E16" s="24">
        <v>3</v>
      </c>
      <c r="F16" s="24">
        <v>7</v>
      </c>
      <c r="G16" s="26">
        <f>C16*E16*F16</f>
        <v>189</v>
      </c>
      <c r="H16" s="2" t="s">
        <v>53</v>
      </c>
      <c r="I16" s="4">
        <v>9</v>
      </c>
      <c r="J16" s="4">
        <v>3</v>
      </c>
      <c r="K16" s="4">
        <v>5</v>
      </c>
      <c r="L16" s="3">
        <f t="shared" si="0"/>
        <v>135</v>
      </c>
      <c r="M16" s="4">
        <v>7</v>
      </c>
      <c r="N16" s="4">
        <v>5</v>
      </c>
      <c r="O16" s="3">
        <f t="shared" si="1"/>
        <v>4725</v>
      </c>
    </row>
    <row r="17" spans="1:15" ht="21.75" customHeight="1">
      <c r="A17" s="25"/>
      <c r="B17" s="25"/>
      <c r="C17" s="25"/>
      <c r="D17" s="25"/>
      <c r="E17" s="25"/>
      <c r="F17" s="25"/>
      <c r="G17" s="25"/>
      <c r="H17" s="2" t="s">
        <v>54</v>
      </c>
      <c r="I17" s="4">
        <v>7</v>
      </c>
      <c r="J17" s="4">
        <v>4</v>
      </c>
      <c r="K17" s="4">
        <v>5</v>
      </c>
      <c r="L17" s="3">
        <f t="shared" si="0"/>
        <v>140</v>
      </c>
      <c r="M17" s="4">
        <v>3</v>
      </c>
      <c r="N17" s="4">
        <v>5</v>
      </c>
      <c r="O17" s="3">
        <f t="shared" si="1"/>
        <v>2100</v>
      </c>
    </row>
    <row r="18" spans="1:15" ht="21.75" customHeight="1">
      <c r="A18" s="24" t="s">
        <v>55</v>
      </c>
      <c r="B18" s="24" t="s">
        <v>56</v>
      </c>
      <c r="C18" s="24">
        <v>6</v>
      </c>
      <c r="D18" s="24" t="s">
        <v>57</v>
      </c>
      <c r="E18" s="24">
        <v>5</v>
      </c>
      <c r="F18" s="24">
        <v>5</v>
      </c>
      <c r="G18" s="26">
        <f>C18*E18*F18</f>
        <v>150</v>
      </c>
      <c r="H18" s="2" t="s">
        <v>58</v>
      </c>
      <c r="I18" s="4">
        <v>6</v>
      </c>
      <c r="J18" s="4">
        <v>5</v>
      </c>
      <c r="K18" s="4">
        <v>4</v>
      </c>
      <c r="L18" s="3">
        <f t="shared" si="0"/>
        <v>120</v>
      </c>
      <c r="M18" s="4">
        <v>2</v>
      </c>
      <c r="N18" s="4">
        <v>4</v>
      </c>
      <c r="O18" s="3">
        <f t="shared" si="1"/>
        <v>960</v>
      </c>
    </row>
    <row r="19" spans="1:15" ht="21.75" customHeight="1">
      <c r="A19" s="25"/>
      <c r="B19" s="25"/>
      <c r="C19" s="25"/>
      <c r="D19" s="25"/>
      <c r="E19" s="25"/>
      <c r="F19" s="25"/>
      <c r="G19" s="25"/>
      <c r="H19" s="2" t="s">
        <v>59</v>
      </c>
      <c r="I19" s="4">
        <v>7</v>
      </c>
      <c r="J19" s="4">
        <v>5</v>
      </c>
      <c r="K19" s="4">
        <v>5</v>
      </c>
      <c r="L19" s="3">
        <f t="shared" si="0"/>
        <v>175</v>
      </c>
      <c r="M19" s="4">
        <v>3</v>
      </c>
      <c r="N19" s="4">
        <v>3</v>
      </c>
      <c r="O19" s="3">
        <f t="shared" si="1"/>
        <v>1575</v>
      </c>
    </row>
    <row r="20" spans="1:15" ht="21.75" customHeight="1">
      <c r="A20" s="24" t="s">
        <v>20</v>
      </c>
      <c r="B20" s="24" t="s">
        <v>60</v>
      </c>
      <c r="C20" s="24">
        <v>8</v>
      </c>
      <c r="D20" s="24" t="s">
        <v>61</v>
      </c>
      <c r="E20" s="24">
        <v>6</v>
      </c>
      <c r="F20" s="24">
        <v>4</v>
      </c>
      <c r="G20" s="26">
        <f>C20*E20*F20</f>
        <v>192</v>
      </c>
      <c r="H20" s="2" t="s">
        <v>62</v>
      </c>
      <c r="I20" s="4">
        <v>9</v>
      </c>
      <c r="J20" s="4">
        <v>4</v>
      </c>
      <c r="K20" s="4">
        <v>5</v>
      </c>
      <c r="L20" s="3">
        <f t="shared" si="0"/>
        <v>180</v>
      </c>
      <c r="M20" s="4">
        <v>3</v>
      </c>
      <c r="N20" s="4">
        <v>3</v>
      </c>
      <c r="O20" s="3">
        <f t="shared" si="1"/>
        <v>1620</v>
      </c>
    </row>
    <row r="21" spans="1:15" ht="21.75" customHeight="1">
      <c r="A21" s="25"/>
      <c r="B21" s="25"/>
      <c r="C21" s="25"/>
      <c r="D21" s="25"/>
      <c r="E21" s="25"/>
      <c r="F21" s="25"/>
      <c r="G21" s="25"/>
      <c r="H21" s="4" t="s">
        <v>63</v>
      </c>
      <c r="I21" s="4">
        <v>9</v>
      </c>
      <c r="J21" s="4">
        <v>4</v>
      </c>
      <c r="K21" s="4">
        <v>4</v>
      </c>
      <c r="L21" s="3">
        <f t="shared" si="0"/>
        <v>144</v>
      </c>
      <c r="M21" s="4">
        <v>2</v>
      </c>
      <c r="N21" s="4">
        <v>2</v>
      </c>
      <c r="O21" s="3">
        <f t="shared" si="1"/>
        <v>576</v>
      </c>
    </row>
    <row r="22" spans="1:15" ht="21.75" customHeight="1">
      <c r="H22" s="2"/>
      <c r="L22" s="3"/>
      <c r="O22" s="3"/>
    </row>
    <row r="23" spans="1:15" ht="21.75" customHeight="1">
      <c r="H23" s="2"/>
      <c r="L23" s="3"/>
      <c r="O23" s="3"/>
    </row>
    <row r="24" spans="1:15" ht="21.75" customHeight="1"/>
    <row r="25" spans="1:15" ht="21.75" customHeight="1"/>
    <row r="26" spans="1:15" ht="21.75" customHeight="1">
      <c r="A26" s="24"/>
      <c r="G26" s="26"/>
      <c r="H26" s="2"/>
      <c r="I26" s="3"/>
      <c r="J26" s="3"/>
      <c r="K26" s="3"/>
      <c r="L26" s="3"/>
      <c r="M26" s="3"/>
      <c r="N26" s="3"/>
      <c r="O26" s="3"/>
    </row>
    <row r="27" spans="1:15" ht="21.75" customHeight="1">
      <c r="A27" s="25"/>
      <c r="G27" s="25"/>
      <c r="H27" s="2"/>
      <c r="I27" s="3"/>
      <c r="J27" s="3"/>
      <c r="K27" s="3"/>
      <c r="L27" s="3"/>
      <c r="M27" s="3"/>
      <c r="N27" s="3"/>
      <c r="O27" s="3"/>
    </row>
    <row r="28" spans="1:15" ht="21.75" customHeight="1">
      <c r="A28" s="24"/>
      <c r="G28" s="26"/>
      <c r="H28" s="2"/>
      <c r="I28" s="3"/>
      <c r="J28" s="3"/>
      <c r="K28" s="3"/>
      <c r="L28" s="3"/>
      <c r="M28" s="3"/>
      <c r="N28" s="3"/>
      <c r="O28" s="3"/>
    </row>
    <row r="29" spans="1:15" ht="21.75" customHeight="1">
      <c r="A29" s="25"/>
      <c r="G29" s="25"/>
      <c r="H29" s="2"/>
      <c r="I29" s="3"/>
      <c r="J29" s="3"/>
      <c r="K29" s="3"/>
      <c r="L29" s="3"/>
      <c r="M29" s="3"/>
      <c r="N29" s="3"/>
      <c r="O29" s="3"/>
    </row>
    <row r="30" spans="1:15" ht="21.75" customHeight="1">
      <c r="A30" s="24"/>
      <c r="G30" s="26"/>
      <c r="H30" s="2"/>
      <c r="I30" s="3"/>
      <c r="J30" s="3"/>
      <c r="K30" s="3"/>
      <c r="L30" s="3"/>
      <c r="M30" s="3"/>
      <c r="N30" s="3"/>
      <c r="O30" s="3"/>
    </row>
    <row r="31" spans="1:15" ht="21.75" customHeight="1">
      <c r="A31" s="25"/>
      <c r="G31" s="25"/>
      <c r="H31" s="2"/>
      <c r="I31" s="3"/>
      <c r="J31" s="3"/>
      <c r="K31" s="3"/>
      <c r="L31" s="3"/>
      <c r="M31" s="3"/>
      <c r="N31" s="3"/>
      <c r="O31" s="3"/>
    </row>
    <row r="32" spans="1:15" ht="21.75" customHeight="1">
      <c r="A32" s="24"/>
      <c r="G32" s="26"/>
      <c r="H32" s="2"/>
      <c r="I32" s="3"/>
      <c r="J32" s="3"/>
      <c r="K32" s="3"/>
      <c r="L32" s="3"/>
      <c r="M32" s="3"/>
      <c r="N32" s="3"/>
      <c r="O32" s="3"/>
    </row>
    <row r="33" spans="1:15" ht="21.75" customHeight="1">
      <c r="A33" s="25"/>
      <c r="G33" s="25"/>
      <c r="H33" s="2"/>
      <c r="I33" s="3"/>
      <c r="J33" s="3"/>
      <c r="K33" s="3"/>
      <c r="L33" s="3"/>
      <c r="M33" s="3"/>
      <c r="N33" s="3"/>
      <c r="O33" s="3"/>
    </row>
    <row r="34" spans="1:15" ht="21.75" customHeight="1"/>
    <row r="35" spans="1:15" ht="21.75" customHeight="1"/>
    <row r="36" spans="1:15" ht="21.75" customHeight="1"/>
    <row r="37" spans="1:15" ht="21.75" customHeight="1"/>
    <row r="38" spans="1:15" ht="21.75" customHeight="1"/>
    <row r="39" spans="1:15" ht="21.75" customHeight="1"/>
    <row r="40" spans="1:15" ht="21.75" customHeight="1"/>
    <row r="41" spans="1:15" ht="21.75" customHeight="1"/>
    <row r="42" spans="1:15" ht="21.75" customHeight="1"/>
    <row r="43" spans="1:15" ht="21.75" customHeight="1"/>
    <row r="44" spans="1:15" ht="21.75" customHeight="1"/>
    <row r="45" spans="1:15" ht="21.75" customHeight="1"/>
    <row r="46" spans="1:15" ht="21.75" customHeight="1"/>
    <row r="47" spans="1:15" ht="21.75" customHeight="1"/>
    <row r="48" spans="1:15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21.75" customHeight="1"/>
    <row r="362" ht="21.75" customHeight="1"/>
    <row r="363" ht="21.75" customHeight="1"/>
    <row r="364" ht="21.75" customHeight="1"/>
    <row r="365" ht="21.75" customHeight="1"/>
    <row r="366" ht="21.75" customHeight="1"/>
    <row r="367" ht="21.75" customHeight="1"/>
    <row r="368" ht="21.75" customHeight="1"/>
    <row r="369" ht="21.75" customHeight="1"/>
    <row r="370" ht="21.75" customHeight="1"/>
    <row r="371" ht="21.75" customHeight="1"/>
    <row r="372" ht="21.75" customHeight="1"/>
    <row r="373" ht="21.75" customHeight="1"/>
    <row r="374" ht="21.75" customHeight="1"/>
    <row r="375" ht="21.75" customHeight="1"/>
    <row r="376" ht="21.75" customHeight="1"/>
    <row r="377" ht="21.75" customHeight="1"/>
    <row r="378" ht="21.75" customHeight="1"/>
    <row r="379" ht="21.75" customHeight="1"/>
    <row r="380" ht="21.75" customHeight="1"/>
    <row r="381" ht="21.75" customHeight="1"/>
    <row r="382" ht="21.75" customHeight="1"/>
    <row r="383" ht="21.75" customHeight="1"/>
    <row r="384" ht="21.75" customHeight="1"/>
    <row r="385" ht="21.75" customHeight="1"/>
    <row r="386" ht="21.75" customHeight="1"/>
    <row r="387" ht="21.75" customHeight="1"/>
    <row r="388" ht="21.75" customHeight="1"/>
    <row r="389" ht="21.75" customHeight="1"/>
    <row r="390" ht="21.75" customHeight="1"/>
    <row r="391" ht="21.75" customHeight="1"/>
    <row r="392" ht="21.75" customHeight="1"/>
    <row r="393" ht="21.75" customHeight="1"/>
    <row r="394" ht="21.75" customHeight="1"/>
    <row r="395" ht="21.75" customHeight="1"/>
    <row r="396" ht="21.75" customHeight="1"/>
    <row r="397" ht="21.75" customHeight="1"/>
    <row r="398" ht="21.75" customHeight="1"/>
    <row r="399" ht="21.75" customHeight="1"/>
    <row r="400" ht="21.75" customHeight="1"/>
    <row r="401" ht="21.75" customHeight="1"/>
    <row r="402" ht="21.75" customHeight="1"/>
    <row r="403" ht="21.75" customHeight="1"/>
    <row r="404" ht="21.75" customHeight="1"/>
    <row r="405" ht="21.75" customHeight="1"/>
    <row r="406" ht="21.75" customHeight="1"/>
    <row r="407" ht="21.75" customHeight="1"/>
    <row r="408" ht="21.75" customHeight="1"/>
    <row r="409" ht="21.75" customHeight="1"/>
    <row r="410" ht="21.75" customHeight="1"/>
    <row r="411" ht="21.75" customHeight="1"/>
    <row r="412" ht="21.75" customHeight="1"/>
    <row r="413" ht="21.75" customHeight="1"/>
    <row r="414" ht="21.75" customHeight="1"/>
    <row r="415" ht="21.75" customHeight="1"/>
    <row r="416" ht="21.75" customHeight="1"/>
    <row r="417" ht="21.75" customHeight="1"/>
    <row r="418" ht="21.75" customHeight="1"/>
    <row r="419" ht="21.75" customHeight="1"/>
    <row r="420" ht="21.75" customHeight="1"/>
    <row r="421" ht="21.75" customHeight="1"/>
    <row r="422" ht="21.75" customHeight="1"/>
    <row r="423" ht="21.75" customHeight="1"/>
    <row r="424" ht="21.75" customHeight="1"/>
    <row r="425" ht="21.75" customHeight="1"/>
    <row r="426" ht="21.75" customHeight="1"/>
    <row r="427" ht="21.75" customHeight="1"/>
    <row r="428" ht="21.75" customHeight="1"/>
    <row r="429" ht="21.75" customHeight="1"/>
    <row r="430" ht="21.75" customHeight="1"/>
    <row r="431" ht="21.75" customHeight="1"/>
    <row r="432" ht="21.75" customHeight="1"/>
    <row r="433" ht="21.75" customHeight="1"/>
    <row r="434" ht="21.75" customHeight="1"/>
    <row r="435" ht="21.75" customHeight="1"/>
    <row r="436" ht="21.75" customHeight="1"/>
    <row r="437" ht="21.75" customHeight="1"/>
    <row r="438" ht="21.75" customHeight="1"/>
    <row r="439" ht="21.75" customHeight="1"/>
    <row r="440" ht="21.75" customHeight="1"/>
    <row r="441" ht="21.75" customHeight="1"/>
    <row r="442" ht="21.75" customHeight="1"/>
    <row r="443" ht="21.75" customHeight="1"/>
    <row r="444" ht="21.75" customHeight="1"/>
    <row r="445" ht="21.75" customHeight="1"/>
    <row r="446" ht="21.75" customHeight="1"/>
    <row r="447" ht="21.75" customHeight="1"/>
    <row r="448" ht="21.75" customHeight="1"/>
    <row r="449" ht="21.75" customHeight="1"/>
    <row r="450" ht="21.75" customHeight="1"/>
    <row r="451" ht="21.75" customHeight="1"/>
    <row r="452" ht="21.75" customHeight="1"/>
    <row r="453" ht="21.75" customHeight="1"/>
    <row r="454" ht="21.75" customHeight="1"/>
    <row r="455" ht="21.75" customHeight="1"/>
    <row r="456" ht="21.75" customHeight="1"/>
    <row r="457" ht="21.75" customHeight="1"/>
    <row r="458" ht="21.75" customHeight="1"/>
    <row r="459" ht="21.75" customHeight="1"/>
    <row r="460" ht="21.75" customHeight="1"/>
    <row r="461" ht="21.75" customHeight="1"/>
    <row r="462" ht="21.75" customHeight="1"/>
    <row r="463" ht="21.75" customHeight="1"/>
    <row r="464" ht="21.75" customHeight="1"/>
    <row r="465" ht="21.75" customHeight="1"/>
    <row r="466" ht="21.75" customHeight="1"/>
    <row r="467" ht="21.75" customHeight="1"/>
    <row r="468" ht="21.75" customHeight="1"/>
    <row r="469" ht="21.75" customHeight="1"/>
    <row r="470" ht="21.75" customHeight="1"/>
    <row r="471" ht="21.75" customHeight="1"/>
    <row r="472" ht="21.75" customHeight="1"/>
    <row r="473" ht="21.75" customHeight="1"/>
    <row r="474" ht="21.75" customHeight="1"/>
    <row r="475" ht="21.75" customHeight="1"/>
    <row r="476" ht="21.75" customHeight="1"/>
    <row r="477" ht="21.75" customHeight="1"/>
    <row r="478" ht="21.75" customHeight="1"/>
    <row r="479" ht="21.75" customHeight="1"/>
    <row r="480" ht="21.75" customHeight="1"/>
    <row r="481" ht="21.75" customHeight="1"/>
    <row r="482" ht="21.75" customHeight="1"/>
    <row r="483" ht="21.75" customHeight="1"/>
    <row r="484" ht="21.75" customHeight="1"/>
    <row r="485" ht="21.75" customHeight="1"/>
    <row r="486" ht="21.75" customHeight="1"/>
    <row r="487" ht="21.75" customHeight="1"/>
    <row r="488" ht="21.75" customHeight="1"/>
    <row r="489" ht="21.75" customHeight="1"/>
    <row r="490" ht="21.75" customHeight="1"/>
    <row r="491" ht="21.75" customHeight="1"/>
    <row r="492" ht="21.75" customHeight="1"/>
    <row r="493" ht="21.75" customHeight="1"/>
    <row r="494" ht="21.75" customHeight="1"/>
    <row r="495" ht="21.75" customHeight="1"/>
    <row r="496" ht="21.75" customHeight="1"/>
    <row r="497" ht="21.75" customHeight="1"/>
    <row r="498" ht="21.75" customHeight="1"/>
    <row r="499" ht="21.75" customHeight="1"/>
    <row r="500" ht="21.75" customHeight="1"/>
    <row r="501" ht="21.75" customHeight="1"/>
    <row r="502" ht="21.75" customHeight="1"/>
    <row r="503" ht="21.75" customHeight="1"/>
    <row r="504" ht="21.75" customHeight="1"/>
    <row r="505" ht="21.75" customHeight="1"/>
    <row r="506" ht="21.75" customHeight="1"/>
    <row r="507" ht="21.75" customHeight="1"/>
    <row r="508" ht="21.75" customHeight="1"/>
    <row r="509" ht="21.75" customHeight="1"/>
    <row r="510" ht="21.75" customHeight="1"/>
    <row r="511" ht="21.75" customHeight="1"/>
    <row r="512" ht="21.75" customHeight="1"/>
    <row r="513" ht="21.75" customHeight="1"/>
    <row r="514" ht="21.75" customHeight="1"/>
    <row r="515" ht="21.75" customHeight="1"/>
    <row r="516" ht="21.75" customHeight="1"/>
    <row r="517" ht="21.75" customHeight="1"/>
    <row r="518" ht="21.75" customHeight="1"/>
    <row r="519" ht="21.75" customHeight="1"/>
    <row r="520" ht="21.75" customHeight="1"/>
    <row r="521" ht="21.75" customHeight="1"/>
    <row r="522" ht="21.75" customHeight="1"/>
    <row r="523" ht="21.75" customHeight="1"/>
    <row r="524" ht="21.75" customHeight="1"/>
    <row r="525" ht="21.75" customHeight="1"/>
    <row r="526" ht="21.75" customHeight="1"/>
    <row r="527" ht="21.75" customHeight="1"/>
    <row r="528" ht="21.75" customHeight="1"/>
    <row r="529" ht="21.75" customHeight="1"/>
    <row r="530" ht="21.75" customHeight="1"/>
    <row r="531" ht="21.75" customHeight="1"/>
    <row r="532" ht="21.75" customHeight="1"/>
    <row r="533" ht="21.75" customHeight="1"/>
    <row r="534" ht="21.75" customHeight="1"/>
    <row r="535" ht="21.75" customHeight="1"/>
    <row r="536" ht="21.75" customHeight="1"/>
    <row r="537" ht="21.75" customHeight="1"/>
    <row r="538" ht="21.75" customHeight="1"/>
    <row r="539" ht="21.75" customHeight="1"/>
    <row r="540" ht="21.75" customHeight="1"/>
    <row r="541" ht="21.75" customHeight="1"/>
    <row r="542" ht="21.75" customHeight="1"/>
    <row r="543" ht="21.75" customHeight="1"/>
    <row r="544" ht="21.75" customHeight="1"/>
    <row r="545" ht="21.75" customHeight="1"/>
    <row r="546" ht="21.75" customHeight="1"/>
    <row r="547" ht="21.75" customHeight="1"/>
    <row r="548" ht="21.75" customHeight="1"/>
    <row r="549" ht="21.75" customHeight="1"/>
    <row r="550" ht="21.75" customHeight="1"/>
    <row r="551" ht="21.75" customHeight="1"/>
    <row r="552" ht="21.75" customHeight="1"/>
    <row r="553" ht="21.75" customHeight="1"/>
    <row r="554" ht="21.75" customHeight="1"/>
    <row r="555" ht="21.75" customHeight="1"/>
    <row r="556" ht="21.75" customHeight="1"/>
    <row r="557" ht="21.75" customHeight="1"/>
    <row r="558" ht="21.75" customHeight="1"/>
    <row r="559" ht="21.75" customHeight="1"/>
    <row r="560" ht="21.75" customHeight="1"/>
    <row r="561" ht="21.75" customHeight="1"/>
    <row r="562" ht="21.75" customHeight="1"/>
    <row r="563" ht="21.75" customHeight="1"/>
    <row r="564" ht="21.75" customHeight="1"/>
    <row r="565" ht="21.75" customHeight="1"/>
    <row r="566" ht="21.75" customHeight="1"/>
    <row r="567" ht="21.75" customHeight="1"/>
    <row r="568" ht="21.75" customHeight="1"/>
    <row r="569" ht="21.75" customHeight="1"/>
    <row r="570" ht="21.75" customHeight="1"/>
    <row r="571" ht="21.75" customHeight="1"/>
    <row r="572" ht="21.75" customHeight="1"/>
    <row r="573" ht="21.75" customHeight="1"/>
    <row r="574" ht="21.75" customHeight="1"/>
    <row r="575" ht="21.75" customHeight="1"/>
    <row r="576" ht="21.75" customHeight="1"/>
    <row r="577" ht="21.75" customHeight="1"/>
    <row r="578" ht="21.75" customHeight="1"/>
    <row r="579" ht="21.75" customHeight="1"/>
    <row r="580" ht="21.75" customHeight="1"/>
    <row r="581" ht="21.75" customHeight="1"/>
    <row r="582" ht="21.75" customHeight="1"/>
    <row r="583" ht="21.75" customHeight="1"/>
    <row r="584" ht="21.75" customHeight="1"/>
    <row r="585" ht="21.75" customHeight="1"/>
    <row r="586" ht="21.75" customHeight="1"/>
    <row r="587" ht="21.75" customHeight="1"/>
    <row r="588" ht="21.75" customHeight="1"/>
    <row r="589" ht="21.75" customHeight="1"/>
    <row r="590" ht="21.75" customHeight="1"/>
    <row r="591" ht="21.75" customHeight="1"/>
    <row r="592" ht="21.75" customHeight="1"/>
    <row r="593" ht="21.75" customHeight="1"/>
    <row r="594" ht="21.75" customHeight="1"/>
    <row r="595" ht="21.75" customHeight="1"/>
    <row r="596" ht="21.75" customHeight="1"/>
    <row r="597" ht="21.75" customHeight="1"/>
    <row r="598" ht="21.75" customHeight="1"/>
    <row r="599" ht="21.75" customHeight="1"/>
    <row r="600" ht="21.75" customHeight="1"/>
    <row r="601" ht="21.75" customHeight="1"/>
    <row r="602" ht="21.75" customHeight="1"/>
    <row r="603" ht="21.75" customHeight="1"/>
    <row r="604" ht="21.75" customHeight="1"/>
    <row r="605" ht="21.75" customHeight="1"/>
    <row r="606" ht="21.75" customHeight="1"/>
    <row r="607" ht="21.75" customHeight="1"/>
    <row r="608" ht="21.75" customHeight="1"/>
    <row r="609" ht="21.75" customHeight="1"/>
    <row r="610" ht="21.75" customHeight="1"/>
    <row r="611" ht="21.75" customHeight="1"/>
    <row r="612" ht="21.75" customHeight="1"/>
    <row r="613" ht="21.75" customHeight="1"/>
    <row r="614" ht="21.75" customHeight="1"/>
    <row r="615" ht="21.75" customHeight="1"/>
    <row r="616" ht="21.75" customHeight="1"/>
    <row r="617" ht="21.75" customHeight="1"/>
    <row r="618" ht="21.75" customHeight="1"/>
    <row r="619" ht="21.75" customHeight="1"/>
    <row r="620" ht="21.75" customHeight="1"/>
    <row r="621" ht="21.75" customHeight="1"/>
    <row r="622" ht="21.75" customHeight="1"/>
    <row r="623" ht="21.75" customHeight="1"/>
    <row r="624" ht="21.75" customHeight="1"/>
    <row r="625" ht="21.75" customHeight="1"/>
    <row r="626" ht="21.75" customHeight="1"/>
    <row r="627" ht="21.75" customHeight="1"/>
    <row r="628" ht="21.75" customHeight="1"/>
    <row r="629" ht="21.75" customHeight="1"/>
    <row r="630" ht="21.75" customHeight="1"/>
    <row r="631" ht="21.75" customHeight="1"/>
    <row r="632" ht="21.75" customHeight="1"/>
    <row r="633" ht="21.75" customHeight="1"/>
    <row r="634" ht="21.75" customHeight="1"/>
    <row r="635" ht="21.75" customHeight="1"/>
    <row r="636" ht="21.75" customHeight="1"/>
    <row r="637" ht="21.75" customHeight="1"/>
    <row r="638" ht="21.75" customHeight="1"/>
    <row r="639" ht="21.75" customHeight="1"/>
    <row r="640" ht="21.75" customHeight="1"/>
    <row r="641" ht="21.75" customHeight="1"/>
    <row r="642" ht="21.75" customHeight="1"/>
    <row r="643" ht="21.75" customHeight="1"/>
    <row r="644" ht="21.75" customHeight="1"/>
    <row r="645" ht="21.75" customHeight="1"/>
    <row r="646" ht="21.75" customHeight="1"/>
    <row r="647" ht="21.75" customHeight="1"/>
    <row r="648" ht="21.75" customHeight="1"/>
    <row r="649" ht="21.75" customHeight="1"/>
    <row r="650" ht="21.75" customHeight="1"/>
    <row r="651" ht="21.75" customHeight="1"/>
    <row r="652" ht="21.75" customHeight="1"/>
    <row r="653" ht="21.75" customHeight="1"/>
    <row r="654" ht="21.75" customHeight="1"/>
    <row r="655" ht="21.75" customHeight="1"/>
    <row r="656" ht="21.75" customHeight="1"/>
    <row r="657" ht="21.75" customHeight="1"/>
    <row r="658" ht="21.75" customHeight="1"/>
    <row r="659" ht="21.75" customHeight="1"/>
    <row r="660" ht="21.75" customHeight="1"/>
    <row r="661" ht="21.75" customHeight="1"/>
    <row r="662" ht="21.75" customHeight="1"/>
    <row r="663" ht="21.75" customHeight="1"/>
    <row r="664" ht="21.75" customHeight="1"/>
    <row r="665" ht="21.75" customHeight="1"/>
    <row r="666" ht="21.75" customHeight="1"/>
    <row r="667" ht="21.75" customHeight="1"/>
    <row r="668" ht="21.75" customHeight="1"/>
    <row r="669" ht="21.75" customHeight="1"/>
    <row r="670" ht="21.75" customHeight="1"/>
    <row r="671" ht="21.75" customHeight="1"/>
    <row r="672" ht="21.75" customHeight="1"/>
    <row r="673" ht="21.75" customHeight="1"/>
    <row r="674" ht="21.75" customHeight="1"/>
    <row r="675" ht="21.75" customHeight="1"/>
    <row r="676" ht="21.75" customHeight="1"/>
    <row r="677" ht="21.75" customHeight="1"/>
    <row r="678" ht="21.75" customHeight="1"/>
    <row r="679" ht="21.75" customHeight="1"/>
    <row r="680" ht="21.75" customHeight="1"/>
    <row r="681" ht="21.75" customHeight="1"/>
    <row r="682" ht="21.75" customHeight="1"/>
    <row r="683" ht="21.75" customHeight="1"/>
    <row r="684" ht="21.75" customHeight="1"/>
    <row r="685" ht="21.75" customHeight="1"/>
    <row r="686" ht="21.75" customHeight="1"/>
    <row r="687" ht="21.75" customHeight="1"/>
    <row r="688" ht="21.75" customHeight="1"/>
    <row r="689" ht="21.75" customHeight="1"/>
    <row r="690" ht="21.75" customHeight="1"/>
    <row r="691" ht="21.75" customHeight="1"/>
    <row r="692" ht="21.75" customHeight="1"/>
    <row r="693" ht="21.75" customHeight="1"/>
    <row r="694" ht="21.75" customHeight="1"/>
    <row r="695" ht="21.75" customHeight="1"/>
    <row r="696" ht="21.75" customHeight="1"/>
    <row r="697" ht="21.75" customHeight="1"/>
    <row r="698" ht="21.75" customHeight="1"/>
    <row r="699" ht="21.75" customHeight="1"/>
    <row r="700" ht="21.75" customHeight="1"/>
    <row r="701" ht="21.75" customHeight="1"/>
    <row r="702" ht="21.75" customHeight="1"/>
    <row r="703" ht="21.75" customHeight="1"/>
    <row r="704" ht="21.75" customHeight="1"/>
    <row r="705" ht="21.75" customHeight="1"/>
    <row r="706" ht="21.75" customHeight="1"/>
    <row r="707" ht="21.75" customHeight="1"/>
    <row r="708" ht="21.75" customHeight="1"/>
    <row r="709" ht="21.75" customHeight="1"/>
    <row r="710" ht="21.75" customHeight="1"/>
    <row r="711" ht="21.75" customHeight="1"/>
    <row r="712" ht="21.75" customHeight="1"/>
    <row r="713" ht="21.75" customHeight="1"/>
    <row r="714" ht="21.75" customHeight="1"/>
    <row r="715" ht="21.75" customHeight="1"/>
    <row r="716" ht="21.75" customHeight="1"/>
    <row r="717" ht="21.75" customHeight="1"/>
    <row r="718" ht="21.75" customHeight="1"/>
    <row r="719" ht="21.75" customHeight="1"/>
    <row r="720" ht="21.75" customHeight="1"/>
    <row r="721" ht="21.75" customHeight="1"/>
    <row r="722" ht="21.75" customHeight="1"/>
    <row r="723" ht="21.75" customHeight="1"/>
    <row r="724" ht="21.75" customHeight="1"/>
    <row r="725" ht="21.75" customHeight="1"/>
    <row r="726" ht="21.75" customHeight="1"/>
    <row r="727" ht="21.75" customHeight="1"/>
    <row r="728" ht="21.75" customHeight="1"/>
    <row r="729" ht="21.75" customHeight="1"/>
    <row r="730" ht="21.75" customHeight="1"/>
    <row r="731" ht="21.75" customHeight="1"/>
    <row r="732" ht="21.75" customHeight="1"/>
    <row r="733" ht="21.75" customHeight="1"/>
    <row r="734" ht="21.75" customHeight="1"/>
    <row r="735" ht="21.75" customHeight="1"/>
    <row r="736" ht="21.75" customHeight="1"/>
    <row r="737" ht="21.75" customHeight="1"/>
    <row r="738" ht="21.75" customHeight="1"/>
    <row r="739" ht="21.75" customHeight="1"/>
    <row r="740" ht="21.75" customHeight="1"/>
    <row r="741" ht="21.75" customHeight="1"/>
    <row r="742" ht="21.75" customHeight="1"/>
    <row r="743" ht="21.75" customHeight="1"/>
    <row r="744" ht="21.75" customHeight="1"/>
    <row r="745" ht="21.75" customHeight="1"/>
    <row r="746" ht="21.75" customHeight="1"/>
    <row r="747" ht="21.75" customHeight="1"/>
    <row r="748" ht="21.75" customHeight="1"/>
    <row r="749" ht="21.75" customHeight="1"/>
    <row r="750" ht="21.75" customHeight="1"/>
    <row r="751" ht="21.75" customHeight="1"/>
    <row r="752" ht="21.75" customHeight="1"/>
    <row r="753" ht="21.75" customHeight="1"/>
    <row r="754" ht="21.75" customHeight="1"/>
    <row r="755" ht="21.75" customHeight="1"/>
    <row r="756" ht="21.75" customHeight="1"/>
    <row r="757" ht="21.75" customHeight="1"/>
    <row r="758" ht="21.75" customHeight="1"/>
    <row r="759" ht="21.75" customHeight="1"/>
    <row r="760" ht="21.75" customHeight="1"/>
    <row r="761" ht="21.75" customHeight="1"/>
    <row r="762" ht="21.75" customHeight="1"/>
    <row r="763" ht="21.75" customHeight="1"/>
    <row r="764" ht="21.75" customHeight="1"/>
    <row r="765" ht="21.75" customHeight="1"/>
    <row r="766" ht="21.75" customHeight="1"/>
    <row r="767" ht="21.75" customHeight="1"/>
    <row r="768" ht="21.75" customHeight="1"/>
    <row r="769" ht="21.75" customHeight="1"/>
    <row r="770" ht="21.75" customHeight="1"/>
    <row r="771" ht="21.75" customHeight="1"/>
    <row r="772" ht="21.75" customHeight="1"/>
    <row r="773" ht="21.75" customHeight="1"/>
    <row r="774" ht="21.75" customHeight="1"/>
    <row r="775" ht="21.75" customHeight="1"/>
    <row r="776" ht="21.75" customHeight="1"/>
    <row r="777" ht="21.75" customHeight="1"/>
    <row r="778" ht="21.75" customHeight="1"/>
    <row r="779" ht="21.75" customHeight="1"/>
    <row r="780" ht="21.75" customHeight="1"/>
    <row r="781" ht="21.75" customHeight="1"/>
    <row r="782" ht="21.75" customHeight="1"/>
    <row r="783" ht="21.75" customHeight="1"/>
    <row r="784" ht="21.75" customHeight="1"/>
    <row r="785" ht="21.75" customHeight="1"/>
    <row r="786" ht="21.75" customHeight="1"/>
    <row r="787" ht="21.75" customHeight="1"/>
    <row r="788" ht="21.75" customHeight="1"/>
    <row r="789" ht="21.75" customHeight="1"/>
    <row r="790" ht="21.75" customHeight="1"/>
    <row r="791" ht="21.75" customHeight="1"/>
    <row r="792" ht="21.75" customHeight="1"/>
    <row r="793" ht="21.75" customHeight="1"/>
    <row r="794" ht="21.75" customHeight="1"/>
    <row r="795" ht="21.75" customHeight="1"/>
    <row r="796" ht="21.75" customHeight="1"/>
    <row r="797" ht="21.75" customHeight="1"/>
    <row r="798" ht="21.75" customHeight="1"/>
    <row r="799" ht="21.75" customHeight="1"/>
    <row r="800" ht="21.75" customHeight="1"/>
    <row r="801" ht="21.75" customHeight="1"/>
    <row r="802" ht="21.75" customHeight="1"/>
    <row r="803" ht="21.75" customHeight="1"/>
    <row r="804" ht="21.75" customHeight="1"/>
    <row r="805" ht="21.75" customHeight="1"/>
    <row r="806" ht="21.75" customHeight="1"/>
    <row r="807" ht="21.75" customHeight="1"/>
    <row r="808" ht="21.75" customHeight="1"/>
    <row r="809" ht="21.75" customHeight="1"/>
    <row r="810" ht="21.75" customHeight="1"/>
    <row r="811" ht="21.75" customHeight="1"/>
    <row r="812" ht="21.75" customHeight="1"/>
    <row r="813" ht="21.75" customHeight="1"/>
    <row r="814" ht="21.75" customHeight="1"/>
    <row r="815" ht="21.75" customHeight="1"/>
    <row r="816" ht="21.75" customHeight="1"/>
    <row r="817" ht="21.75" customHeight="1"/>
    <row r="818" ht="21.75" customHeight="1"/>
    <row r="819" ht="21.75" customHeight="1"/>
    <row r="820" ht="21.75" customHeight="1"/>
    <row r="821" ht="21.75" customHeight="1"/>
    <row r="822" ht="21.75" customHeight="1"/>
    <row r="823" ht="21.75" customHeight="1"/>
    <row r="824" ht="21.75" customHeight="1"/>
    <row r="825" ht="21.75" customHeight="1"/>
    <row r="826" ht="21.75" customHeight="1"/>
    <row r="827" ht="21.75" customHeight="1"/>
    <row r="828" ht="21.75" customHeight="1"/>
    <row r="829" ht="21.75" customHeight="1"/>
    <row r="830" ht="21.75" customHeight="1"/>
    <row r="831" ht="21.75" customHeight="1"/>
    <row r="832" ht="21.75" customHeight="1"/>
    <row r="833" ht="21.75" customHeight="1"/>
    <row r="834" ht="21.75" customHeight="1"/>
    <row r="835" ht="21.75" customHeight="1"/>
    <row r="836" ht="21.75" customHeight="1"/>
    <row r="837" ht="21.75" customHeight="1"/>
    <row r="838" ht="21.75" customHeight="1"/>
    <row r="839" ht="21.75" customHeight="1"/>
    <row r="840" ht="21.75" customHeight="1"/>
    <row r="841" ht="21.75" customHeight="1"/>
    <row r="842" ht="21.75" customHeight="1"/>
    <row r="843" ht="21.75" customHeight="1"/>
    <row r="844" ht="21.75" customHeight="1"/>
    <row r="845" ht="21.75" customHeight="1"/>
    <row r="846" ht="21.75" customHeight="1"/>
    <row r="847" ht="21.75" customHeight="1"/>
    <row r="848" ht="21.75" customHeight="1"/>
    <row r="849" ht="21.75" customHeight="1"/>
    <row r="850" ht="21.75" customHeight="1"/>
    <row r="851" ht="21.75" customHeight="1"/>
    <row r="852" ht="21.75" customHeight="1"/>
    <row r="853" ht="21.75" customHeight="1"/>
    <row r="854" ht="21.75" customHeight="1"/>
    <row r="855" ht="21.75" customHeight="1"/>
    <row r="856" ht="21.75" customHeight="1"/>
    <row r="857" ht="21.75" customHeight="1"/>
    <row r="858" ht="21.75" customHeight="1"/>
    <row r="859" ht="21.75" customHeight="1"/>
    <row r="860" ht="21.75" customHeight="1"/>
    <row r="861" ht="21.75" customHeight="1"/>
    <row r="862" ht="21.75" customHeight="1"/>
    <row r="863" ht="21.75" customHeight="1"/>
    <row r="864" ht="21.75" customHeight="1"/>
    <row r="865" ht="21.75" customHeight="1"/>
    <row r="866" ht="21.75" customHeight="1"/>
    <row r="867" ht="21.75" customHeight="1"/>
    <row r="868" ht="21.75" customHeight="1"/>
    <row r="869" ht="21.75" customHeight="1"/>
    <row r="870" ht="21.75" customHeight="1"/>
    <row r="871" ht="21.75" customHeight="1"/>
    <row r="872" ht="21.75" customHeight="1"/>
    <row r="873" ht="21.75" customHeight="1"/>
    <row r="874" ht="21.75" customHeight="1"/>
    <row r="875" ht="21.75" customHeight="1"/>
    <row r="876" ht="21.75" customHeight="1"/>
    <row r="877" ht="21.75" customHeight="1"/>
    <row r="878" ht="21.75" customHeight="1"/>
    <row r="879" ht="21.75" customHeight="1"/>
    <row r="880" ht="21.75" customHeight="1"/>
    <row r="881" ht="21.75" customHeight="1"/>
    <row r="882" ht="21.75" customHeight="1"/>
    <row r="883" ht="21.75" customHeight="1"/>
    <row r="884" ht="21.75" customHeight="1"/>
    <row r="885" ht="21.75" customHeight="1"/>
    <row r="886" ht="21.75" customHeight="1"/>
    <row r="887" ht="21.75" customHeight="1"/>
    <row r="888" ht="21.75" customHeight="1"/>
    <row r="889" ht="21.75" customHeight="1"/>
    <row r="890" ht="21.75" customHeight="1"/>
    <row r="891" ht="21.75" customHeight="1"/>
    <row r="892" ht="21.75" customHeight="1"/>
    <row r="893" ht="21.75" customHeight="1"/>
    <row r="894" ht="21.75" customHeight="1"/>
    <row r="895" ht="21.75" customHeight="1"/>
    <row r="896" ht="21.75" customHeight="1"/>
    <row r="897" ht="21.75" customHeight="1"/>
    <row r="898" ht="21.75" customHeight="1"/>
    <row r="899" ht="21.75" customHeight="1"/>
    <row r="900" ht="21.75" customHeight="1"/>
    <row r="901" ht="21.75" customHeight="1"/>
    <row r="902" ht="21.75" customHeight="1"/>
    <row r="903" ht="21.75" customHeight="1"/>
    <row r="904" ht="21.75" customHeight="1"/>
    <row r="905" ht="21.75" customHeight="1"/>
    <row r="906" ht="21.75" customHeight="1"/>
    <row r="907" ht="21.75" customHeight="1"/>
    <row r="908" ht="21.75" customHeight="1"/>
    <row r="909" ht="21.75" customHeight="1"/>
    <row r="910" ht="21.75" customHeight="1"/>
    <row r="911" ht="21.75" customHeight="1"/>
    <row r="912" ht="21.75" customHeight="1"/>
    <row r="913" ht="21.75" customHeight="1"/>
    <row r="914" ht="21.75" customHeight="1"/>
    <row r="915" ht="21.75" customHeight="1"/>
    <row r="916" ht="21.75" customHeight="1"/>
    <row r="917" ht="21.75" customHeight="1"/>
    <row r="918" ht="21.75" customHeight="1"/>
    <row r="919" ht="21.75" customHeight="1"/>
    <row r="920" ht="21.75" customHeight="1"/>
    <row r="921" ht="21.75" customHeight="1"/>
    <row r="922" ht="21.75" customHeight="1"/>
    <row r="923" ht="21.75" customHeight="1"/>
    <row r="924" ht="21.75" customHeight="1"/>
    <row r="925" ht="21.75" customHeight="1"/>
    <row r="926" ht="21.75" customHeight="1"/>
    <row r="927" ht="21.75" customHeight="1"/>
    <row r="928" ht="21.75" customHeight="1"/>
    <row r="929" ht="21.75" customHeight="1"/>
    <row r="930" ht="21.75" customHeight="1"/>
    <row r="931" ht="21.75" customHeight="1"/>
    <row r="932" ht="21.75" customHeight="1"/>
    <row r="933" ht="21.75" customHeight="1"/>
    <row r="934" ht="21.75" customHeight="1"/>
    <row r="935" ht="21.75" customHeight="1"/>
    <row r="936" ht="21.75" customHeight="1"/>
    <row r="937" ht="21.75" customHeight="1"/>
    <row r="938" ht="21.75" customHeight="1"/>
    <row r="939" ht="21.75" customHeight="1"/>
    <row r="940" ht="21.75" customHeight="1"/>
    <row r="941" ht="21.75" customHeight="1"/>
    <row r="942" ht="21.75" customHeight="1"/>
    <row r="943" ht="21.75" customHeight="1"/>
    <row r="944" ht="21.75" customHeight="1"/>
    <row r="945" ht="21.75" customHeight="1"/>
    <row r="946" ht="21.75" customHeight="1"/>
    <row r="947" ht="21.75" customHeight="1"/>
    <row r="948" ht="21.75" customHeight="1"/>
    <row r="949" ht="21.75" customHeight="1"/>
    <row r="950" ht="21.75" customHeight="1"/>
    <row r="951" ht="21.75" customHeight="1"/>
    <row r="952" ht="21.75" customHeight="1"/>
    <row r="953" ht="21.75" customHeight="1"/>
    <row r="954" ht="21.75" customHeight="1"/>
    <row r="955" ht="21.75" customHeight="1"/>
    <row r="956" ht="21.75" customHeight="1"/>
    <row r="957" ht="21.75" customHeight="1"/>
    <row r="958" ht="21.75" customHeight="1"/>
    <row r="959" ht="21.75" customHeight="1"/>
    <row r="960" ht="21.75" customHeight="1"/>
    <row r="961" ht="21.75" customHeight="1"/>
    <row r="962" ht="21.75" customHeight="1"/>
    <row r="963" ht="21.75" customHeight="1"/>
    <row r="964" ht="21.75" customHeight="1"/>
    <row r="965" ht="21.75" customHeight="1"/>
    <row r="966" ht="21.75" customHeight="1"/>
    <row r="967" ht="21.75" customHeight="1"/>
    <row r="968" ht="21.75" customHeight="1"/>
    <row r="969" ht="21.75" customHeight="1"/>
    <row r="970" ht="21.75" customHeight="1"/>
    <row r="971" ht="21.75" customHeight="1"/>
    <row r="972" ht="21.75" customHeight="1"/>
    <row r="973" ht="21.75" customHeight="1"/>
    <row r="974" ht="21.75" customHeight="1"/>
    <row r="975" ht="21.75" customHeight="1"/>
    <row r="976" ht="21.75" customHeight="1"/>
    <row r="977" ht="21.75" customHeight="1"/>
    <row r="978" ht="21.75" customHeight="1"/>
    <row r="979" ht="21.75" customHeight="1"/>
    <row r="980" ht="21.75" customHeight="1"/>
    <row r="981" ht="21.75" customHeight="1"/>
    <row r="982" ht="21.75" customHeight="1"/>
    <row r="983" ht="21.75" customHeight="1"/>
    <row r="984" ht="21.75" customHeight="1"/>
    <row r="985" ht="21.75" customHeight="1"/>
    <row r="986" ht="21.75" customHeight="1"/>
    <row r="987" ht="21.75" customHeight="1"/>
    <row r="988" ht="21.75" customHeight="1"/>
    <row r="989" ht="21.75" customHeight="1"/>
    <row r="990" ht="21.75" customHeight="1"/>
    <row r="991" ht="21.75" customHeight="1"/>
    <row r="992" ht="21.75" customHeight="1"/>
    <row r="993" ht="21.75" customHeight="1"/>
    <row r="994" ht="21.75" customHeight="1"/>
    <row r="995" ht="21.75" customHeight="1"/>
    <row r="996" ht="21.75" customHeight="1"/>
    <row r="997" ht="21.75" customHeight="1"/>
    <row r="998" ht="21.75" customHeight="1"/>
    <row r="999" ht="21.75" customHeight="1"/>
    <row r="1000" ht="21.75" customHeight="1"/>
  </sheetData>
  <mergeCells count="78">
    <mergeCell ref="F14:F15"/>
    <mergeCell ref="G14:G15"/>
    <mergeCell ref="A16:A17"/>
    <mergeCell ref="B16:B17"/>
    <mergeCell ref="C16:C17"/>
    <mergeCell ref="D16:D17"/>
    <mergeCell ref="E16:E17"/>
    <mergeCell ref="F16:F17"/>
    <mergeCell ref="G16:G17"/>
    <mergeCell ref="A14:A15"/>
    <mergeCell ref="B14:B15"/>
    <mergeCell ref="C14:C15"/>
    <mergeCell ref="D14:D15"/>
    <mergeCell ref="E14:E15"/>
    <mergeCell ref="G20:G21"/>
    <mergeCell ref="G26:G27"/>
    <mergeCell ref="G28:G29"/>
    <mergeCell ref="G30:G31"/>
    <mergeCell ref="G32:G33"/>
    <mergeCell ref="A28:A29"/>
    <mergeCell ref="A30:A31"/>
    <mergeCell ref="A32:A33"/>
    <mergeCell ref="A20:A21"/>
    <mergeCell ref="B20:B21"/>
    <mergeCell ref="C20:C21"/>
    <mergeCell ref="D20:D21"/>
    <mergeCell ref="E20:E21"/>
    <mergeCell ref="F20:F21"/>
    <mergeCell ref="A26:A27"/>
    <mergeCell ref="F2:F3"/>
    <mergeCell ref="G2:G3"/>
    <mergeCell ref="A4:A5"/>
    <mergeCell ref="B4:B5"/>
    <mergeCell ref="C4:C5"/>
    <mergeCell ref="D4:D5"/>
    <mergeCell ref="E4:E5"/>
    <mergeCell ref="F4:F5"/>
    <mergeCell ref="G4:G5"/>
    <mergeCell ref="A2:A3"/>
    <mergeCell ref="B2:B3"/>
    <mergeCell ref="C2:C3"/>
    <mergeCell ref="D2:D3"/>
    <mergeCell ref="E2:E3"/>
    <mergeCell ref="F6:F7"/>
    <mergeCell ref="G6:G7"/>
    <mergeCell ref="A8:A9"/>
    <mergeCell ref="B8:B9"/>
    <mergeCell ref="C8:C9"/>
    <mergeCell ref="D8:D9"/>
    <mergeCell ref="E8:E9"/>
    <mergeCell ref="F8:F9"/>
    <mergeCell ref="G8:G9"/>
    <mergeCell ref="A6:A7"/>
    <mergeCell ref="B6:B7"/>
    <mergeCell ref="C6:C7"/>
    <mergeCell ref="D6:D7"/>
    <mergeCell ref="E6:E7"/>
    <mergeCell ref="F10:F11"/>
    <mergeCell ref="G10:G11"/>
    <mergeCell ref="A12:A13"/>
    <mergeCell ref="B12:B13"/>
    <mergeCell ref="C12:C13"/>
    <mergeCell ref="D12:D13"/>
    <mergeCell ref="E12:E13"/>
    <mergeCell ref="F12:F13"/>
    <mergeCell ref="G12:G13"/>
    <mergeCell ref="A10:A11"/>
    <mergeCell ref="B10:B11"/>
    <mergeCell ref="C10:C11"/>
    <mergeCell ref="D10:D11"/>
    <mergeCell ref="E10:E11"/>
    <mergeCell ref="F18:F19"/>
    <mergeCell ref="G18:G19"/>
    <mergeCell ref="A18:A19"/>
    <mergeCell ref="B18:B19"/>
    <mergeCell ref="C18:C19"/>
    <mergeCell ref="D18:D19"/>
    <mergeCell ref="E18:E19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00"/>
  <sheetViews>
    <sheetView tabSelected="1" topLeftCell="A8" workbookViewId="0">
      <selection activeCell="N10" sqref="N10"/>
    </sheetView>
  </sheetViews>
  <sheetFormatPr defaultColWidth="12.6328125" defaultRowHeight="15" customHeight="1"/>
  <cols>
    <col min="1" max="1" width="11" customWidth="1"/>
    <col min="2" max="2" width="15.7265625" customWidth="1"/>
    <col min="3" max="3" width="12.36328125" customWidth="1"/>
    <col min="4" max="4" width="11" customWidth="1"/>
    <col min="5" max="5" width="17.36328125" customWidth="1"/>
    <col min="6" max="6" width="11" customWidth="1"/>
    <col min="7" max="7" width="11.90625" customWidth="1"/>
    <col min="8" max="8" width="11" customWidth="1"/>
    <col min="9" max="9" width="22.26953125" customWidth="1"/>
    <col min="10" max="13" width="11" customWidth="1"/>
    <col min="14" max="14" width="16.36328125" customWidth="1"/>
    <col min="15" max="15" width="11.08984375" customWidth="1"/>
    <col min="16" max="17" width="11" customWidth="1"/>
    <col min="18" max="18" width="30.08984375" customWidth="1"/>
    <col min="19" max="30" width="11" customWidth="1"/>
  </cols>
  <sheetData>
    <row r="1" spans="1:30" ht="15.75" customHeight="1">
      <c r="A1" s="30" t="s">
        <v>64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0" ht="45.5" customHeight="1">
      <c r="A2" s="31" t="s">
        <v>0</v>
      </c>
      <c r="B2" s="32"/>
      <c r="C2" s="7" t="s">
        <v>1</v>
      </c>
      <c r="D2" s="7" t="s">
        <v>65</v>
      </c>
      <c r="E2" s="7" t="s">
        <v>3</v>
      </c>
      <c r="F2" s="7" t="s">
        <v>66</v>
      </c>
      <c r="G2" s="7" t="s">
        <v>67</v>
      </c>
      <c r="H2" s="7" t="s">
        <v>6</v>
      </c>
      <c r="I2" s="8" t="s">
        <v>7</v>
      </c>
      <c r="J2" s="9" t="s">
        <v>8</v>
      </c>
      <c r="K2" s="9" t="s">
        <v>9</v>
      </c>
      <c r="L2" s="9" t="s">
        <v>10</v>
      </c>
      <c r="M2" s="9" t="s">
        <v>11</v>
      </c>
      <c r="N2" s="9" t="s">
        <v>12</v>
      </c>
      <c r="O2" s="9" t="s">
        <v>13</v>
      </c>
      <c r="P2" s="9" t="s">
        <v>14</v>
      </c>
      <c r="Q2" s="6"/>
      <c r="R2" s="6"/>
      <c r="S2" s="6"/>
      <c r="T2" s="6"/>
      <c r="U2" s="6"/>
      <c r="V2" s="10"/>
      <c r="W2" s="10"/>
      <c r="X2" s="11"/>
      <c r="Y2" s="11"/>
      <c r="Z2" s="11"/>
      <c r="AA2" s="11"/>
      <c r="AB2" s="11"/>
      <c r="AC2" s="11"/>
      <c r="AD2" s="11"/>
    </row>
    <row r="3" spans="1:30" ht="14.25" customHeight="1">
      <c r="A3" s="27">
        <v>1</v>
      </c>
      <c r="B3" s="27" t="s">
        <v>15</v>
      </c>
      <c r="C3" s="27" t="s">
        <v>68</v>
      </c>
      <c r="D3" s="27">
        <v>7</v>
      </c>
      <c r="E3" s="37" t="s">
        <v>69</v>
      </c>
      <c r="F3" s="27">
        <v>7</v>
      </c>
      <c r="G3" s="27">
        <v>3</v>
      </c>
      <c r="H3" s="34">
        <f>D3*F3*G3</f>
        <v>147</v>
      </c>
      <c r="I3" s="29" t="s">
        <v>70</v>
      </c>
      <c r="J3" s="27">
        <v>7</v>
      </c>
      <c r="K3" s="27">
        <v>4</v>
      </c>
      <c r="L3" s="27">
        <v>3</v>
      </c>
      <c r="M3" s="27">
        <f>J3*K3*L3</f>
        <v>84</v>
      </c>
      <c r="N3" s="27">
        <v>2</v>
      </c>
      <c r="O3" s="27">
        <v>2</v>
      </c>
      <c r="P3" s="27">
        <f>M3*N3*O3</f>
        <v>336</v>
      </c>
      <c r="Q3" s="43"/>
      <c r="R3" s="25"/>
      <c r="S3" s="6"/>
      <c r="T3" s="6"/>
      <c r="U3" s="10"/>
      <c r="V3" s="10"/>
      <c r="W3" s="11"/>
      <c r="X3" s="11"/>
      <c r="Y3" s="11"/>
      <c r="Z3" s="11"/>
      <c r="AA3" s="11"/>
      <c r="AB3" s="11"/>
      <c r="AC3" s="11"/>
      <c r="AD3" s="11"/>
    </row>
    <row r="4" spans="1:30" ht="12" customHeight="1">
      <c r="A4" s="33"/>
      <c r="B4" s="33"/>
      <c r="C4" s="33"/>
      <c r="D4" s="33"/>
      <c r="E4" s="38"/>
      <c r="F4" s="33"/>
      <c r="G4" s="33"/>
      <c r="H4" s="35"/>
      <c r="I4" s="28"/>
      <c r="J4" s="28"/>
      <c r="K4" s="28"/>
      <c r="L4" s="28"/>
      <c r="M4" s="28"/>
      <c r="N4" s="28"/>
      <c r="O4" s="28"/>
      <c r="P4" s="28"/>
      <c r="Q4" s="43"/>
      <c r="R4" s="25"/>
      <c r="S4" s="6"/>
      <c r="T4" s="6"/>
      <c r="U4" s="13"/>
      <c r="V4" s="13"/>
      <c r="W4" s="11"/>
      <c r="X4" s="11"/>
      <c r="Y4" s="11"/>
      <c r="Z4" s="11"/>
      <c r="AA4" s="11"/>
      <c r="AB4" s="11"/>
      <c r="AC4" s="11"/>
      <c r="AD4" s="11"/>
    </row>
    <row r="5" spans="1:30" ht="12" customHeight="1">
      <c r="A5" s="33"/>
      <c r="B5" s="33"/>
      <c r="C5" s="33"/>
      <c r="D5" s="33"/>
      <c r="E5" s="38"/>
      <c r="F5" s="33"/>
      <c r="G5" s="33"/>
      <c r="H5" s="35"/>
      <c r="I5" s="29" t="s">
        <v>71</v>
      </c>
      <c r="J5" s="27">
        <v>6</v>
      </c>
      <c r="K5" s="27">
        <v>4</v>
      </c>
      <c r="L5" s="27">
        <v>3</v>
      </c>
      <c r="M5" s="27">
        <f>J5*K5*L5</f>
        <v>72</v>
      </c>
      <c r="N5" s="27">
        <v>3</v>
      </c>
      <c r="O5" s="27">
        <v>4</v>
      </c>
      <c r="P5" s="27">
        <f>M5*N5*O5</f>
        <v>864</v>
      </c>
      <c r="Q5" s="25"/>
      <c r="R5" s="25"/>
      <c r="S5" s="6"/>
      <c r="T5" s="6"/>
      <c r="U5" s="13"/>
      <c r="V5" s="13"/>
      <c r="W5" s="11"/>
      <c r="X5" s="11"/>
      <c r="Y5" s="11"/>
      <c r="Z5" s="11"/>
      <c r="AA5" s="11"/>
      <c r="AB5" s="11"/>
      <c r="AC5" s="11"/>
      <c r="AD5" s="11"/>
    </row>
    <row r="6" spans="1:30" ht="12" customHeight="1">
      <c r="A6" s="33"/>
      <c r="B6" s="33"/>
      <c r="C6" s="33"/>
      <c r="D6" s="33"/>
      <c r="E6" s="38"/>
      <c r="F6" s="33"/>
      <c r="G6" s="33"/>
      <c r="H6" s="35"/>
      <c r="I6" s="33"/>
      <c r="J6" s="33"/>
      <c r="K6" s="33"/>
      <c r="L6" s="33"/>
      <c r="M6" s="33"/>
      <c r="N6" s="33"/>
      <c r="O6" s="33"/>
      <c r="P6" s="33"/>
      <c r="Q6" s="6"/>
      <c r="R6" s="6"/>
      <c r="S6" s="6"/>
      <c r="T6" s="6"/>
      <c r="U6" s="13"/>
      <c r="V6" s="13"/>
      <c r="W6" s="11"/>
      <c r="X6" s="11"/>
      <c r="Y6" s="11"/>
      <c r="Z6" s="11"/>
      <c r="AA6" s="11"/>
      <c r="AB6" s="11"/>
      <c r="AC6" s="11"/>
      <c r="AD6" s="11"/>
    </row>
    <row r="7" spans="1:30" ht="14.25" customHeight="1">
      <c r="A7" s="33"/>
      <c r="B7" s="33"/>
      <c r="C7" s="33"/>
      <c r="D7" s="33"/>
      <c r="E7" s="39"/>
      <c r="F7" s="33"/>
      <c r="G7" s="33"/>
      <c r="H7" s="35"/>
      <c r="I7" s="28"/>
      <c r="J7" s="28"/>
      <c r="K7" s="28"/>
      <c r="L7" s="28"/>
      <c r="M7" s="28"/>
      <c r="N7" s="28"/>
      <c r="O7" s="28"/>
      <c r="P7" s="28"/>
      <c r="Q7" s="43"/>
      <c r="R7" s="25"/>
      <c r="S7" s="6"/>
      <c r="T7" s="6"/>
      <c r="U7" s="13"/>
      <c r="V7" s="13"/>
      <c r="W7" s="11"/>
      <c r="X7" s="11"/>
      <c r="Y7" s="11"/>
      <c r="Z7" s="11"/>
      <c r="AA7" s="11"/>
      <c r="AB7" s="11"/>
      <c r="AC7" s="11"/>
      <c r="AD7" s="11"/>
    </row>
    <row r="8" spans="1:30" ht="33" customHeight="1">
      <c r="A8" s="33"/>
      <c r="B8" s="33"/>
      <c r="C8" s="33"/>
      <c r="D8" s="33"/>
      <c r="E8" s="40" t="s">
        <v>72</v>
      </c>
      <c r="F8" s="33"/>
      <c r="G8" s="33"/>
      <c r="H8" s="35"/>
      <c r="I8" s="14" t="s">
        <v>73</v>
      </c>
      <c r="J8" s="15">
        <v>7</v>
      </c>
      <c r="K8" s="15">
        <v>4</v>
      </c>
      <c r="L8" s="15">
        <v>3</v>
      </c>
      <c r="M8" s="15">
        <f t="shared" ref="M8:M12" si="0">J8*K8*L8</f>
        <v>84</v>
      </c>
      <c r="N8" s="15">
        <v>3</v>
      </c>
      <c r="O8" s="15">
        <v>4</v>
      </c>
      <c r="P8" s="15">
        <f t="shared" ref="P8:P12" si="1">M8*N8*O8</f>
        <v>1008</v>
      </c>
      <c r="Q8" s="6"/>
      <c r="R8" s="6"/>
      <c r="S8" s="6"/>
      <c r="T8" s="6"/>
      <c r="U8" s="13"/>
      <c r="V8" s="13"/>
      <c r="W8" s="11"/>
      <c r="X8" s="11"/>
      <c r="Y8" s="11"/>
      <c r="Z8" s="11"/>
      <c r="AA8" s="11"/>
      <c r="AB8" s="11"/>
      <c r="AC8" s="11"/>
      <c r="AD8" s="11"/>
    </row>
    <row r="9" spans="1:30" ht="31.5" customHeight="1">
      <c r="A9" s="33"/>
      <c r="B9" s="33"/>
      <c r="C9" s="33"/>
      <c r="D9" s="33"/>
      <c r="E9" s="39"/>
      <c r="F9" s="33"/>
      <c r="G9" s="33"/>
      <c r="H9" s="35"/>
      <c r="I9" s="14" t="s">
        <v>74</v>
      </c>
      <c r="J9" s="15">
        <v>7</v>
      </c>
      <c r="K9" s="15">
        <v>4</v>
      </c>
      <c r="L9" s="15">
        <v>2</v>
      </c>
      <c r="M9" s="15">
        <f t="shared" si="0"/>
        <v>56</v>
      </c>
      <c r="N9" s="15">
        <v>3</v>
      </c>
      <c r="O9" s="15">
        <v>3</v>
      </c>
      <c r="P9" s="15">
        <f t="shared" si="1"/>
        <v>504</v>
      </c>
      <c r="Q9" s="6"/>
      <c r="R9" s="6"/>
      <c r="S9" s="6"/>
      <c r="T9" s="6"/>
      <c r="U9" s="13"/>
      <c r="V9" s="13"/>
      <c r="W9" s="11"/>
      <c r="X9" s="11"/>
      <c r="Y9" s="11"/>
      <c r="Z9" s="11"/>
      <c r="AA9" s="11"/>
      <c r="AB9" s="11"/>
      <c r="AC9" s="11"/>
    </row>
    <row r="10" spans="1:30" ht="33" customHeight="1">
      <c r="A10" s="33"/>
      <c r="B10" s="33"/>
      <c r="C10" s="33"/>
      <c r="D10" s="33"/>
      <c r="E10" s="42" t="s">
        <v>75</v>
      </c>
      <c r="F10" s="33"/>
      <c r="G10" s="33"/>
      <c r="H10" s="35"/>
      <c r="I10" s="16" t="s">
        <v>76</v>
      </c>
      <c r="J10" s="15">
        <v>5</v>
      </c>
      <c r="K10" s="15">
        <v>5</v>
      </c>
      <c r="L10" s="15">
        <v>2</v>
      </c>
      <c r="M10" s="15">
        <f t="shared" si="0"/>
        <v>50</v>
      </c>
      <c r="N10" s="15">
        <v>2</v>
      </c>
      <c r="O10" s="15">
        <v>3</v>
      </c>
      <c r="P10" s="15">
        <f t="shared" si="1"/>
        <v>300</v>
      </c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30" ht="32.25" customHeight="1">
      <c r="A11" s="28"/>
      <c r="B11" s="28"/>
      <c r="C11" s="28"/>
      <c r="D11" s="28"/>
      <c r="E11" s="39"/>
      <c r="F11" s="28"/>
      <c r="G11" s="28"/>
      <c r="H11" s="36"/>
      <c r="I11" s="16" t="s">
        <v>77</v>
      </c>
      <c r="J11" s="15">
        <v>6</v>
      </c>
      <c r="K11" s="15">
        <v>5</v>
      </c>
      <c r="L11" s="15">
        <v>2</v>
      </c>
      <c r="M11" s="15">
        <f t="shared" si="0"/>
        <v>60</v>
      </c>
      <c r="N11" s="15">
        <v>2</v>
      </c>
      <c r="O11" s="15">
        <v>3</v>
      </c>
      <c r="P11" s="15">
        <f t="shared" si="1"/>
        <v>360</v>
      </c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30" ht="12" customHeight="1">
      <c r="A12" s="27">
        <v>2</v>
      </c>
      <c r="B12" s="27" t="s">
        <v>20</v>
      </c>
      <c r="C12" s="27" t="s">
        <v>60</v>
      </c>
      <c r="D12" s="27">
        <v>8</v>
      </c>
      <c r="E12" s="37" t="s">
        <v>78</v>
      </c>
      <c r="F12" s="27">
        <v>6</v>
      </c>
      <c r="G12" s="27">
        <v>4</v>
      </c>
      <c r="H12" s="34">
        <f>D12*F12*G12</f>
        <v>192</v>
      </c>
      <c r="I12" s="29" t="s">
        <v>79</v>
      </c>
      <c r="J12" s="27">
        <v>8</v>
      </c>
      <c r="K12" s="27">
        <v>4</v>
      </c>
      <c r="L12" s="27">
        <v>4</v>
      </c>
      <c r="M12" s="27">
        <f t="shared" si="0"/>
        <v>128</v>
      </c>
      <c r="N12" s="27">
        <v>2</v>
      </c>
      <c r="O12" s="27">
        <v>2</v>
      </c>
      <c r="P12" s="27">
        <f t="shared" si="1"/>
        <v>512</v>
      </c>
      <c r="Q12" s="6"/>
      <c r="R12" s="6"/>
      <c r="S12" s="6"/>
      <c r="T12" s="6"/>
      <c r="U12" s="10"/>
      <c r="V12" s="10"/>
      <c r="W12" s="11"/>
      <c r="X12" s="11"/>
      <c r="Y12" s="11"/>
      <c r="Z12" s="11"/>
      <c r="AA12" s="11"/>
      <c r="AB12" s="11"/>
      <c r="AC12" s="11"/>
    </row>
    <row r="13" spans="1:30" ht="24.75" customHeight="1">
      <c r="A13" s="33"/>
      <c r="B13" s="33"/>
      <c r="C13" s="33"/>
      <c r="D13" s="33"/>
      <c r="E13" s="38"/>
      <c r="F13" s="33"/>
      <c r="G13" s="33"/>
      <c r="H13" s="35"/>
      <c r="I13" s="28"/>
      <c r="J13" s="28"/>
      <c r="K13" s="28"/>
      <c r="L13" s="28"/>
      <c r="M13" s="28"/>
      <c r="N13" s="28"/>
      <c r="O13" s="28"/>
      <c r="P13" s="28"/>
      <c r="Q13" s="6"/>
      <c r="R13" s="6"/>
      <c r="S13" s="6"/>
      <c r="T13" s="6"/>
      <c r="U13" s="13"/>
      <c r="V13" s="13"/>
      <c r="W13" s="11"/>
      <c r="X13" s="11"/>
      <c r="Y13" s="11"/>
      <c r="Z13" s="11"/>
      <c r="AA13" s="11"/>
      <c r="AB13" s="11"/>
      <c r="AC13" s="11"/>
    </row>
    <row r="14" spans="1:30" ht="20.25" customHeight="1">
      <c r="A14" s="33"/>
      <c r="B14" s="33"/>
      <c r="C14" s="33"/>
      <c r="D14" s="33"/>
      <c r="E14" s="38"/>
      <c r="F14" s="33"/>
      <c r="G14" s="33"/>
      <c r="H14" s="35"/>
      <c r="I14" s="29" t="s">
        <v>80</v>
      </c>
      <c r="J14" s="27">
        <v>7</v>
      </c>
      <c r="K14" s="27">
        <v>3</v>
      </c>
      <c r="L14" s="27">
        <v>4</v>
      </c>
      <c r="M14" s="27">
        <f>J14*K14*L14</f>
        <v>84</v>
      </c>
      <c r="N14" s="27">
        <v>3</v>
      </c>
      <c r="O14" s="27">
        <v>3</v>
      </c>
      <c r="P14" s="27">
        <f>M14*N14*O14</f>
        <v>756</v>
      </c>
      <c r="Q14" s="6"/>
      <c r="R14" s="6"/>
      <c r="T14" s="6"/>
      <c r="U14" s="13"/>
      <c r="V14" s="13"/>
      <c r="W14" s="11"/>
      <c r="X14" s="11"/>
      <c r="Y14" s="11"/>
      <c r="Z14" s="11"/>
      <c r="AA14" s="11"/>
      <c r="AB14" s="11"/>
      <c r="AC14" s="11"/>
    </row>
    <row r="15" spans="1:30" ht="12" customHeight="1">
      <c r="A15" s="33"/>
      <c r="B15" s="33"/>
      <c r="C15" s="33"/>
      <c r="D15" s="33"/>
      <c r="E15" s="39"/>
      <c r="F15" s="33"/>
      <c r="G15" s="33"/>
      <c r="H15" s="35"/>
      <c r="I15" s="28"/>
      <c r="J15" s="28"/>
      <c r="K15" s="28"/>
      <c r="L15" s="28"/>
      <c r="M15" s="28"/>
      <c r="N15" s="28"/>
      <c r="O15" s="28"/>
      <c r="P15" s="28"/>
      <c r="Q15" s="6"/>
      <c r="R15" s="6"/>
      <c r="T15" s="6"/>
      <c r="U15" s="13"/>
      <c r="V15" s="13"/>
      <c r="W15" s="11"/>
      <c r="X15" s="11"/>
      <c r="Y15" s="11"/>
      <c r="Z15" s="11"/>
      <c r="AA15" s="11"/>
      <c r="AB15" s="11"/>
      <c r="AC15" s="11"/>
    </row>
    <row r="16" spans="1:30" ht="33" customHeight="1">
      <c r="A16" s="33"/>
      <c r="B16" s="33"/>
      <c r="C16" s="33"/>
      <c r="D16" s="33"/>
      <c r="E16" s="40" t="s">
        <v>81</v>
      </c>
      <c r="F16" s="33"/>
      <c r="G16" s="33"/>
      <c r="H16" s="35"/>
      <c r="I16" s="14" t="s">
        <v>82</v>
      </c>
      <c r="J16" s="15">
        <v>8</v>
      </c>
      <c r="K16" s="15">
        <v>4</v>
      </c>
      <c r="L16" s="15">
        <v>4</v>
      </c>
      <c r="M16" s="15">
        <f t="shared" ref="M16:M20" si="2">J16*K16*L16</f>
        <v>128</v>
      </c>
      <c r="N16" s="15">
        <v>2</v>
      </c>
      <c r="O16" s="15">
        <v>2</v>
      </c>
      <c r="P16" s="15">
        <f t="shared" ref="P16:P20" si="3">M16*N16*O16</f>
        <v>512</v>
      </c>
      <c r="Q16" s="6"/>
      <c r="R16" s="6"/>
      <c r="T16" s="6"/>
      <c r="U16" s="13"/>
      <c r="V16" s="13"/>
      <c r="W16" s="11"/>
      <c r="X16" s="11"/>
      <c r="Y16" s="11"/>
      <c r="Z16" s="11"/>
      <c r="AA16" s="11"/>
      <c r="AB16" s="11"/>
      <c r="AC16" s="11"/>
    </row>
    <row r="17" spans="1:29" ht="34.5" customHeight="1">
      <c r="A17" s="33"/>
      <c r="B17" s="33"/>
      <c r="C17" s="33"/>
      <c r="D17" s="33"/>
      <c r="E17" s="39"/>
      <c r="F17" s="33"/>
      <c r="G17" s="33"/>
      <c r="H17" s="35"/>
      <c r="I17" s="14" t="s">
        <v>83</v>
      </c>
      <c r="J17" s="15">
        <v>8</v>
      </c>
      <c r="K17" s="15">
        <v>5</v>
      </c>
      <c r="L17" s="15">
        <v>3</v>
      </c>
      <c r="M17" s="15">
        <f t="shared" si="2"/>
        <v>120</v>
      </c>
      <c r="N17" s="15">
        <v>3</v>
      </c>
      <c r="O17" s="15">
        <v>3</v>
      </c>
      <c r="P17" s="15">
        <f t="shared" si="3"/>
        <v>1080</v>
      </c>
      <c r="Q17" s="6"/>
      <c r="R17" s="6"/>
      <c r="T17" s="6"/>
      <c r="U17" s="13"/>
      <c r="V17" s="13"/>
      <c r="W17" s="11"/>
      <c r="X17" s="11"/>
      <c r="Y17" s="11"/>
      <c r="Z17" s="11"/>
      <c r="AA17" s="11"/>
      <c r="AB17" s="11"/>
      <c r="AC17" s="11"/>
    </row>
    <row r="18" spans="1:29" ht="33" customHeight="1">
      <c r="A18" s="33"/>
      <c r="B18" s="33"/>
      <c r="C18" s="33"/>
      <c r="D18" s="33"/>
      <c r="E18" s="41" t="s">
        <v>84</v>
      </c>
      <c r="F18" s="33"/>
      <c r="G18" s="33"/>
      <c r="H18" s="35"/>
      <c r="I18" s="16" t="s">
        <v>85</v>
      </c>
      <c r="J18" s="15">
        <v>8</v>
      </c>
      <c r="K18" s="15">
        <v>5</v>
      </c>
      <c r="L18" s="15">
        <v>3</v>
      </c>
      <c r="M18" s="15">
        <f t="shared" si="2"/>
        <v>120</v>
      </c>
      <c r="N18" s="15">
        <v>3</v>
      </c>
      <c r="O18" s="15">
        <v>2</v>
      </c>
      <c r="P18" s="15">
        <f t="shared" si="3"/>
        <v>720</v>
      </c>
      <c r="Q18" s="6"/>
      <c r="R18" s="6"/>
      <c r="T18" s="6"/>
      <c r="U18" s="13"/>
      <c r="V18" s="13"/>
      <c r="W18" s="11"/>
      <c r="X18" s="11"/>
      <c r="Y18" s="11"/>
      <c r="Z18" s="11"/>
      <c r="AA18" s="11"/>
      <c r="AB18" s="11"/>
      <c r="AC18" s="11"/>
    </row>
    <row r="19" spans="1:29" ht="34.5" customHeight="1">
      <c r="A19" s="28"/>
      <c r="B19" s="28"/>
      <c r="C19" s="28"/>
      <c r="D19" s="28"/>
      <c r="E19" s="39"/>
      <c r="F19" s="28"/>
      <c r="G19" s="28"/>
      <c r="H19" s="36"/>
      <c r="I19" s="16" t="s">
        <v>86</v>
      </c>
      <c r="J19" s="17">
        <v>8</v>
      </c>
      <c r="K19" s="17">
        <v>4</v>
      </c>
      <c r="L19" s="17">
        <v>3</v>
      </c>
      <c r="M19" s="15">
        <f t="shared" si="2"/>
        <v>96</v>
      </c>
      <c r="N19" s="17">
        <v>3</v>
      </c>
      <c r="O19" s="17">
        <v>2</v>
      </c>
      <c r="P19" s="15">
        <f t="shared" si="3"/>
        <v>576</v>
      </c>
      <c r="Q19" s="6"/>
      <c r="R19" s="6"/>
      <c r="T19" s="6"/>
      <c r="U19" s="6"/>
      <c r="V19" s="6"/>
      <c r="W19" s="6"/>
      <c r="X19" s="6"/>
      <c r="Y19" s="6"/>
      <c r="Z19" s="6"/>
    </row>
    <row r="20" spans="1:29" ht="18.75" customHeight="1">
      <c r="A20" s="27">
        <v>3</v>
      </c>
      <c r="B20" s="27" t="s">
        <v>87</v>
      </c>
      <c r="C20" s="27" t="s">
        <v>31</v>
      </c>
      <c r="D20" s="27">
        <v>8</v>
      </c>
      <c r="E20" s="37" t="s">
        <v>88</v>
      </c>
      <c r="F20" s="27">
        <v>4</v>
      </c>
      <c r="G20" s="27">
        <v>5</v>
      </c>
      <c r="H20" s="34">
        <f>D20*F20*G20</f>
        <v>160</v>
      </c>
      <c r="I20" s="29" t="s">
        <v>89</v>
      </c>
      <c r="J20" s="27">
        <v>8</v>
      </c>
      <c r="K20" s="27">
        <v>4</v>
      </c>
      <c r="L20" s="27">
        <v>3</v>
      </c>
      <c r="M20" s="27">
        <f t="shared" si="2"/>
        <v>96</v>
      </c>
      <c r="N20" s="27">
        <v>2</v>
      </c>
      <c r="O20" s="27">
        <v>2</v>
      </c>
      <c r="P20" s="27">
        <f t="shared" si="3"/>
        <v>384</v>
      </c>
      <c r="Q20" s="6"/>
      <c r="R20" s="6"/>
      <c r="T20" s="6"/>
      <c r="U20" s="6"/>
      <c r="V20" s="6"/>
      <c r="W20" s="6"/>
      <c r="X20" s="6"/>
      <c r="Y20" s="6"/>
      <c r="Z20" s="6"/>
    </row>
    <row r="21" spans="1:29" ht="12" customHeight="1">
      <c r="A21" s="33"/>
      <c r="B21" s="33"/>
      <c r="C21" s="33"/>
      <c r="D21" s="33"/>
      <c r="E21" s="38"/>
      <c r="F21" s="33"/>
      <c r="G21" s="33"/>
      <c r="H21" s="35"/>
      <c r="I21" s="28"/>
      <c r="J21" s="28"/>
      <c r="K21" s="28"/>
      <c r="L21" s="28"/>
      <c r="M21" s="28"/>
      <c r="N21" s="28"/>
      <c r="O21" s="28"/>
      <c r="P21" s="28"/>
      <c r="Q21" s="6"/>
      <c r="R21" s="6"/>
      <c r="T21" s="6"/>
      <c r="U21" s="6"/>
      <c r="V21" s="6"/>
      <c r="W21" s="6"/>
      <c r="X21" s="6"/>
      <c r="Y21" s="6"/>
      <c r="Z21" s="6"/>
    </row>
    <row r="22" spans="1:29" ht="19.5" customHeight="1">
      <c r="A22" s="33"/>
      <c r="B22" s="33"/>
      <c r="C22" s="33"/>
      <c r="D22" s="33"/>
      <c r="E22" s="38"/>
      <c r="F22" s="33"/>
      <c r="G22" s="33"/>
      <c r="H22" s="35"/>
      <c r="I22" s="29" t="s">
        <v>90</v>
      </c>
      <c r="J22" s="27">
        <v>8</v>
      </c>
      <c r="K22" s="27">
        <v>3</v>
      </c>
      <c r="L22" s="27">
        <v>3</v>
      </c>
      <c r="M22" s="27">
        <f>J22*K22*L22</f>
        <v>72</v>
      </c>
      <c r="N22" s="27">
        <v>3</v>
      </c>
      <c r="O22" s="27">
        <v>3</v>
      </c>
      <c r="P22" s="27">
        <f>M22*N22*O22</f>
        <v>648</v>
      </c>
      <c r="Q22" s="6"/>
      <c r="R22" s="6"/>
      <c r="T22" s="6"/>
      <c r="U22" s="6"/>
      <c r="V22" s="6"/>
      <c r="W22" s="6"/>
      <c r="X22" s="6"/>
      <c r="Y22" s="6"/>
      <c r="Z22" s="6"/>
    </row>
    <row r="23" spans="1:29" ht="12" customHeight="1">
      <c r="A23" s="33"/>
      <c r="B23" s="33"/>
      <c r="C23" s="33"/>
      <c r="D23" s="33"/>
      <c r="E23" s="39"/>
      <c r="F23" s="33"/>
      <c r="G23" s="33"/>
      <c r="H23" s="35"/>
      <c r="I23" s="28"/>
      <c r="J23" s="28"/>
      <c r="K23" s="28"/>
      <c r="L23" s="28"/>
      <c r="M23" s="28"/>
      <c r="N23" s="28"/>
      <c r="O23" s="28"/>
      <c r="P23" s="28"/>
      <c r="Q23" s="6"/>
      <c r="R23" s="6"/>
      <c r="T23" s="6"/>
      <c r="U23" s="6"/>
      <c r="V23" s="6"/>
      <c r="W23" s="6"/>
      <c r="X23" s="6"/>
      <c r="Y23" s="6"/>
      <c r="Z23" s="6"/>
    </row>
    <row r="24" spans="1:29" ht="31.5" customHeight="1">
      <c r="A24" s="33"/>
      <c r="B24" s="33"/>
      <c r="C24" s="33"/>
      <c r="D24" s="33"/>
      <c r="E24" s="40" t="s">
        <v>91</v>
      </c>
      <c r="F24" s="33"/>
      <c r="G24" s="33"/>
      <c r="H24" s="35"/>
      <c r="I24" s="14" t="s">
        <v>92</v>
      </c>
      <c r="J24" s="15">
        <v>8</v>
      </c>
      <c r="K24" s="15">
        <v>3</v>
      </c>
      <c r="L24" s="15">
        <v>3</v>
      </c>
      <c r="M24" s="15">
        <f t="shared" ref="M24:M27" si="4">J24*K24*L24</f>
        <v>72</v>
      </c>
      <c r="N24" s="15">
        <v>4</v>
      </c>
      <c r="O24" s="15">
        <v>4</v>
      </c>
      <c r="P24" s="15">
        <f t="shared" ref="P24:P27" si="5">M24*N24*O24</f>
        <v>1152</v>
      </c>
      <c r="Q24" s="6"/>
      <c r="R24" s="6"/>
      <c r="T24" s="6"/>
      <c r="U24" s="6"/>
      <c r="V24" s="6"/>
      <c r="W24" s="6"/>
      <c r="X24" s="6"/>
      <c r="Y24" s="6"/>
      <c r="Z24" s="6"/>
    </row>
    <row r="25" spans="1:29" ht="34.5" customHeight="1">
      <c r="A25" s="33"/>
      <c r="B25" s="33"/>
      <c r="C25" s="33"/>
      <c r="D25" s="33"/>
      <c r="E25" s="39"/>
      <c r="F25" s="33"/>
      <c r="G25" s="33"/>
      <c r="H25" s="35"/>
      <c r="I25" s="14" t="s">
        <v>93</v>
      </c>
      <c r="J25" s="15">
        <v>8</v>
      </c>
      <c r="K25" s="15">
        <v>3</v>
      </c>
      <c r="L25" s="15">
        <v>4</v>
      </c>
      <c r="M25" s="15">
        <f t="shared" si="4"/>
        <v>96</v>
      </c>
      <c r="N25" s="15">
        <v>3</v>
      </c>
      <c r="O25" s="15">
        <v>3</v>
      </c>
      <c r="P25" s="15">
        <f t="shared" si="5"/>
        <v>864</v>
      </c>
      <c r="Q25" s="6"/>
      <c r="R25" s="6"/>
      <c r="T25" s="6"/>
      <c r="U25" s="6"/>
      <c r="V25" s="6"/>
      <c r="W25" s="6"/>
      <c r="X25" s="6"/>
      <c r="Y25" s="6"/>
      <c r="Z25" s="6"/>
    </row>
    <row r="26" spans="1:29" ht="36" customHeight="1">
      <c r="A26" s="33"/>
      <c r="B26" s="33"/>
      <c r="C26" s="33"/>
      <c r="D26" s="33"/>
      <c r="E26" s="41" t="s">
        <v>94</v>
      </c>
      <c r="F26" s="33"/>
      <c r="G26" s="33"/>
      <c r="H26" s="35"/>
      <c r="I26" s="16" t="s">
        <v>95</v>
      </c>
      <c r="J26" s="15">
        <v>8</v>
      </c>
      <c r="K26" s="15">
        <v>3</v>
      </c>
      <c r="L26" s="15">
        <v>3</v>
      </c>
      <c r="M26" s="15">
        <f t="shared" si="4"/>
        <v>72</v>
      </c>
      <c r="N26" s="15">
        <v>4</v>
      </c>
      <c r="O26" s="15">
        <v>3</v>
      </c>
      <c r="P26" s="15">
        <f t="shared" si="5"/>
        <v>864</v>
      </c>
      <c r="Q26" s="6"/>
      <c r="R26" s="6"/>
      <c r="T26" s="6"/>
      <c r="U26" s="6"/>
      <c r="V26" s="6"/>
      <c r="W26" s="6"/>
      <c r="X26" s="6"/>
      <c r="Y26" s="6"/>
      <c r="Z26" s="6"/>
    </row>
    <row r="27" spans="1:29" ht="40.5" customHeight="1">
      <c r="A27" s="28"/>
      <c r="B27" s="28"/>
      <c r="C27" s="28"/>
      <c r="D27" s="28"/>
      <c r="E27" s="39"/>
      <c r="F27" s="28"/>
      <c r="G27" s="28"/>
      <c r="H27" s="36"/>
      <c r="I27" s="16" t="s">
        <v>96</v>
      </c>
      <c r="J27" s="15">
        <v>8</v>
      </c>
      <c r="K27" s="15">
        <v>3</v>
      </c>
      <c r="L27" s="15">
        <v>4</v>
      </c>
      <c r="M27" s="15">
        <f t="shared" si="4"/>
        <v>96</v>
      </c>
      <c r="N27" s="15">
        <v>3</v>
      </c>
      <c r="O27" s="15">
        <v>2</v>
      </c>
      <c r="P27" s="15">
        <f t="shared" si="5"/>
        <v>576</v>
      </c>
      <c r="Q27" s="6"/>
      <c r="R27" s="6"/>
      <c r="T27" s="6"/>
      <c r="U27" s="6"/>
      <c r="V27" s="6"/>
      <c r="W27" s="6"/>
      <c r="X27" s="6"/>
      <c r="Y27" s="6"/>
      <c r="Z27" s="6"/>
    </row>
    <row r="28" spans="1:29" ht="15.75" customHeight="1">
      <c r="A28" s="6"/>
      <c r="B28" s="6"/>
      <c r="C28" s="6"/>
      <c r="D28" s="6"/>
      <c r="E28" s="6"/>
      <c r="F28" s="6"/>
      <c r="G28" s="6"/>
      <c r="H28" s="6"/>
      <c r="I28" s="12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9" ht="15.75" customHeight="1">
      <c r="A29" s="6"/>
      <c r="B29" s="6"/>
      <c r="C29" s="6"/>
      <c r="D29" s="6"/>
      <c r="E29" s="6"/>
      <c r="F29" s="6"/>
      <c r="G29" s="6"/>
      <c r="H29" s="6"/>
      <c r="I29" s="12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9" ht="15.75" customHeight="1">
      <c r="A30" s="6"/>
      <c r="B30" s="6"/>
      <c r="C30" s="6"/>
      <c r="D30" s="6"/>
      <c r="E30" s="6"/>
      <c r="F30" s="6"/>
      <c r="G30" s="6"/>
      <c r="H30" s="6"/>
      <c r="I30" s="12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9" ht="15.75" customHeight="1">
      <c r="A31" s="6"/>
      <c r="B31" s="6"/>
      <c r="C31" s="6"/>
      <c r="D31" s="6"/>
      <c r="E31" s="6"/>
      <c r="F31" s="6"/>
      <c r="G31" s="6"/>
      <c r="H31" s="6"/>
      <c r="I31" s="12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9" ht="15.75" customHeight="1">
      <c r="A32" s="6"/>
      <c r="B32" s="6"/>
      <c r="C32" s="6"/>
      <c r="D32" s="6"/>
      <c r="E32" s="6"/>
      <c r="F32" s="6"/>
      <c r="G32" s="6"/>
      <c r="H32" s="6"/>
      <c r="I32" s="12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>
      <c r="A33" s="6"/>
      <c r="B33" s="6"/>
      <c r="C33" s="6"/>
      <c r="D33" s="6"/>
      <c r="E33" s="6"/>
      <c r="F33" s="6"/>
      <c r="G33" s="6"/>
      <c r="H33" s="6"/>
      <c r="I33" s="12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6"/>
      <c r="B34" s="6"/>
      <c r="C34" s="6"/>
      <c r="D34" s="6"/>
      <c r="E34" s="6"/>
      <c r="F34" s="6"/>
      <c r="G34" s="6"/>
      <c r="H34" s="6"/>
      <c r="I34" s="12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6"/>
      <c r="B35" s="6"/>
      <c r="C35" s="6"/>
      <c r="D35" s="6"/>
      <c r="E35" s="6"/>
      <c r="F35" s="6"/>
      <c r="G35" s="6"/>
      <c r="H35" s="6"/>
      <c r="I35" s="12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6"/>
      <c r="B36" s="6"/>
      <c r="C36" s="6"/>
      <c r="D36" s="6"/>
      <c r="E36" s="6"/>
      <c r="F36" s="6"/>
      <c r="G36" s="6"/>
      <c r="H36" s="6"/>
      <c r="I36" s="12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6"/>
      <c r="B37" s="6"/>
      <c r="C37" s="6"/>
      <c r="D37" s="6"/>
      <c r="E37" s="6"/>
      <c r="F37" s="6"/>
      <c r="G37" s="6"/>
      <c r="H37" s="6"/>
      <c r="I37" s="12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>
      <c r="A38" s="6"/>
      <c r="B38" s="6"/>
      <c r="C38" s="6"/>
      <c r="D38" s="6"/>
      <c r="E38" s="6"/>
      <c r="F38" s="6"/>
      <c r="G38" s="6"/>
      <c r="H38" s="6"/>
      <c r="I38" s="12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>
      <c r="A39" s="6"/>
      <c r="B39" s="6"/>
      <c r="C39" s="6"/>
      <c r="D39" s="6"/>
      <c r="E39" s="6"/>
      <c r="F39" s="6"/>
      <c r="G39" s="6"/>
      <c r="H39" s="6"/>
      <c r="I39" s="12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>
      <c r="A40" s="6"/>
      <c r="B40" s="6"/>
      <c r="C40" s="6"/>
      <c r="D40" s="6"/>
      <c r="E40" s="6"/>
      <c r="F40" s="6"/>
      <c r="G40" s="6"/>
      <c r="H40" s="6"/>
      <c r="I40" s="12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>
      <c r="A41" s="6"/>
      <c r="B41" s="6"/>
      <c r="C41" s="6"/>
      <c r="D41" s="6"/>
      <c r="E41" s="6"/>
      <c r="F41" s="6"/>
      <c r="G41" s="6"/>
      <c r="H41" s="6"/>
      <c r="I41" s="12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>
      <c r="A42" s="6"/>
      <c r="B42" s="6"/>
      <c r="C42" s="6"/>
      <c r="D42" s="6"/>
      <c r="E42" s="6"/>
      <c r="F42" s="6"/>
      <c r="G42" s="6"/>
      <c r="H42" s="6"/>
      <c r="I42" s="12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>
      <c r="A43" s="6"/>
      <c r="B43" s="6"/>
      <c r="C43" s="6"/>
      <c r="D43" s="6"/>
      <c r="E43" s="6"/>
      <c r="F43" s="6"/>
      <c r="G43" s="6"/>
      <c r="H43" s="6"/>
      <c r="I43" s="12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>
      <c r="A44" s="6"/>
      <c r="B44" s="6"/>
      <c r="C44" s="6"/>
      <c r="D44" s="6"/>
      <c r="E44" s="6"/>
      <c r="F44" s="6"/>
      <c r="G44" s="6"/>
      <c r="H44" s="6"/>
      <c r="I44" s="12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>
      <c r="A45" s="6"/>
      <c r="B45" s="6"/>
      <c r="C45" s="6"/>
      <c r="D45" s="6"/>
      <c r="E45" s="6"/>
      <c r="F45" s="6"/>
      <c r="G45" s="6"/>
      <c r="H45" s="6"/>
      <c r="I45" s="12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>
      <c r="A46" s="6"/>
      <c r="B46" s="6"/>
      <c r="C46" s="6"/>
      <c r="D46" s="6"/>
      <c r="E46" s="6"/>
      <c r="F46" s="6"/>
      <c r="G46" s="6"/>
      <c r="H46" s="6"/>
      <c r="I46" s="12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>
      <c r="A47" s="6"/>
      <c r="B47" s="6"/>
      <c r="C47" s="6"/>
      <c r="D47" s="6"/>
      <c r="E47" s="6"/>
      <c r="F47" s="6"/>
      <c r="G47" s="6"/>
      <c r="H47" s="6"/>
      <c r="I47" s="12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>
      <c r="A48" s="6"/>
      <c r="B48" s="6"/>
      <c r="C48" s="6"/>
      <c r="D48" s="6"/>
      <c r="E48" s="6"/>
      <c r="F48" s="6"/>
      <c r="G48" s="6"/>
      <c r="H48" s="6"/>
      <c r="I48" s="12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>
      <c r="A49" s="6"/>
      <c r="B49" s="6"/>
      <c r="C49" s="6"/>
      <c r="D49" s="6"/>
      <c r="E49" s="6"/>
      <c r="F49" s="6"/>
      <c r="G49" s="6"/>
      <c r="H49" s="6"/>
      <c r="I49" s="12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>
      <c r="A50" s="6"/>
      <c r="B50" s="6"/>
      <c r="C50" s="6"/>
      <c r="D50" s="6"/>
      <c r="E50" s="6"/>
      <c r="F50" s="6"/>
      <c r="G50" s="6"/>
      <c r="H50" s="6"/>
      <c r="I50" s="12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>
      <c r="A51" s="6"/>
      <c r="B51" s="6"/>
      <c r="C51" s="6"/>
      <c r="D51" s="6"/>
      <c r="E51" s="6"/>
      <c r="F51" s="6"/>
      <c r="G51" s="6"/>
      <c r="H51" s="6"/>
      <c r="I51" s="12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>
      <c r="A52" s="6"/>
      <c r="B52" s="6"/>
      <c r="C52" s="6"/>
      <c r="D52" s="6"/>
      <c r="E52" s="6"/>
      <c r="F52" s="6"/>
      <c r="G52" s="6"/>
      <c r="H52" s="6"/>
      <c r="I52" s="12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>
      <c r="A53" s="6"/>
      <c r="B53" s="6"/>
      <c r="C53" s="6"/>
      <c r="D53" s="6"/>
      <c r="E53" s="6"/>
      <c r="F53" s="6"/>
      <c r="G53" s="6"/>
      <c r="H53" s="6"/>
      <c r="I53" s="12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>
      <c r="A54" s="6"/>
      <c r="B54" s="6"/>
      <c r="C54" s="6"/>
      <c r="D54" s="6"/>
      <c r="E54" s="6"/>
      <c r="F54" s="6"/>
      <c r="G54" s="6"/>
      <c r="H54" s="6"/>
      <c r="I54" s="12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>
      <c r="A55" s="6"/>
      <c r="B55" s="6"/>
      <c r="C55" s="6"/>
      <c r="D55" s="6"/>
      <c r="E55" s="6"/>
      <c r="F55" s="6"/>
      <c r="G55" s="6"/>
      <c r="H55" s="6"/>
      <c r="I55" s="12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>
      <c r="A56" s="6"/>
      <c r="B56" s="6"/>
      <c r="C56" s="6"/>
      <c r="D56" s="6"/>
      <c r="E56" s="6"/>
      <c r="F56" s="6"/>
      <c r="G56" s="6"/>
      <c r="H56" s="6"/>
      <c r="I56" s="12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>
      <c r="A57" s="6"/>
      <c r="B57" s="6"/>
      <c r="C57" s="6"/>
      <c r="D57" s="6"/>
      <c r="E57" s="6"/>
      <c r="F57" s="6"/>
      <c r="G57" s="6"/>
      <c r="H57" s="6"/>
      <c r="I57" s="12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>
      <c r="A58" s="6"/>
      <c r="B58" s="6"/>
      <c r="C58" s="6"/>
      <c r="D58" s="6"/>
      <c r="E58" s="6"/>
      <c r="F58" s="6"/>
      <c r="G58" s="6"/>
      <c r="H58" s="6"/>
      <c r="I58" s="12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>
      <c r="A59" s="6"/>
      <c r="B59" s="6"/>
      <c r="C59" s="6"/>
      <c r="D59" s="6"/>
      <c r="E59" s="6"/>
      <c r="F59" s="6"/>
      <c r="G59" s="6"/>
      <c r="H59" s="6"/>
      <c r="I59" s="12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>
      <c r="A60" s="6"/>
      <c r="B60" s="6"/>
      <c r="C60" s="6"/>
      <c r="D60" s="6"/>
      <c r="E60" s="6"/>
      <c r="F60" s="6"/>
      <c r="G60" s="6"/>
      <c r="H60" s="6"/>
      <c r="I60" s="12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>
      <c r="A61" s="6"/>
      <c r="B61" s="6"/>
      <c r="C61" s="6"/>
      <c r="D61" s="6"/>
      <c r="E61" s="6"/>
      <c r="F61" s="6"/>
      <c r="G61" s="6"/>
      <c r="H61" s="6"/>
      <c r="I61" s="12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>
      <c r="A62" s="6"/>
      <c r="B62" s="6"/>
      <c r="C62" s="6"/>
      <c r="D62" s="6"/>
      <c r="E62" s="6"/>
      <c r="F62" s="6"/>
      <c r="G62" s="6"/>
      <c r="H62" s="6"/>
      <c r="I62" s="12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>
      <c r="A63" s="6"/>
      <c r="B63" s="6"/>
      <c r="C63" s="6"/>
      <c r="D63" s="6"/>
      <c r="E63" s="6"/>
      <c r="F63" s="6"/>
      <c r="G63" s="6"/>
      <c r="H63" s="6"/>
      <c r="I63" s="12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>
      <c r="A64" s="6"/>
      <c r="B64" s="6"/>
      <c r="C64" s="6"/>
      <c r="D64" s="6"/>
      <c r="E64" s="6"/>
      <c r="F64" s="6"/>
      <c r="G64" s="6"/>
      <c r="H64" s="6"/>
      <c r="I64" s="12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>
      <c r="A65" s="6"/>
      <c r="B65" s="6"/>
      <c r="C65" s="6"/>
      <c r="D65" s="6"/>
      <c r="E65" s="6"/>
      <c r="F65" s="6"/>
      <c r="G65" s="6"/>
      <c r="H65" s="6"/>
      <c r="I65" s="12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>
      <c r="A66" s="6"/>
      <c r="B66" s="6"/>
      <c r="C66" s="6"/>
      <c r="D66" s="6"/>
      <c r="E66" s="6"/>
      <c r="F66" s="6"/>
      <c r="G66" s="6"/>
      <c r="H66" s="6"/>
      <c r="I66" s="12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>
      <c r="A67" s="6"/>
      <c r="B67" s="6"/>
      <c r="C67" s="6"/>
      <c r="D67" s="6"/>
      <c r="E67" s="6"/>
      <c r="F67" s="6"/>
      <c r="G67" s="6"/>
      <c r="H67" s="6"/>
      <c r="I67" s="12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>
      <c r="A68" s="6"/>
      <c r="B68" s="6"/>
      <c r="C68" s="6"/>
      <c r="D68" s="6"/>
      <c r="E68" s="6"/>
      <c r="F68" s="6"/>
      <c r="G68" s="6"/>
      <c r="H68" s="6"/>
      <c r="I68" s="12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>
      <c r="A69" s="6"/>
      <c r="B69" s="6"/>
      <c r="C69" s="6"/>
      <c r="D69" s="6"/>
      <c r="E69" s="6"/>
      <c r="F69" s="6"/>
      <c r="G69" s="6"/>
      <c r="H69" s="6"/>
      <c r="I69" s="12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>
      <c r="A70" s="6"/>
      <c r="B70" s="6"/>
      <c r="C70" s="6"/>
      <c r="D70" s="6"/>
      <c r="E70" s="6"/>
      <c r="F70" s="6"/>
      <c r="G70" s="6"/>
      <c r="H70" s="6"/>
      <c r="I70" s="12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>
      <c r="A71" s="6"/>
      <c r="B71" s="6"/>
      <c r="C71" s="6"/>
      <c r="D71" s="6"/>
      <c r="E71" s="6"/>
      <c r="F71" s="6"/>
      <c r="G71" s="6"/>
      <c r="H71" s="6"/>
      <c r="I71" s="12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>
      <c r="A72" s="6"/>
      <c r="B72" s="6"/>
      <c r="C72" s="6"/>
      <c r="D72" s="6"/>
      <c r="E72" s="6"/>
      <c r="F72" s="6"/>
      <c r="G72" s="6"/>
      <c r="H72" s="6"/>
      <c r="I72" s="12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>
      <c r="A73" s="6"/>
      <c r="B73" s="6"/>
      <c r="C73" s="6"/>
      <c r="D73" s="6"/>
      <c r="E73" s="6"/>
      <c r="F73" s="6"/>
      <c r="G73" s="6"/>
      <c r="H73" s="6"/>
      <c r="I73" s="12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>
      <c r="A74" s="6"/>
      <c r="B74" s="6"/>
      <c r="C74" s="6"/>
      <c r="D74" s="6"/>
      <c r="E74" s="6"/>
      <c r="F74" s="6"/>
      <c r="G74" s="6"/>
      <c r="H74" s="6"/>
      <c r="I74" s="12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>
      <c r="A75" s="6"/>
      <c r="B75" s="6"/>
      <c r="C75" s="6"/>
      <c r="D75" s="6"/>
      <c r="E75" s="6"/>
      <c r="F75" s="6"/>
      <c r="G75" s="6"/>
      <c r="H75" s="6"/>
      <c r="I75" s="12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>
      <c r="A76" s="6"/>
      <c r="B76" s="6"/>
      <c r="C76" s="6"/>
      <c r="D76" s="6"/>
      <c r="E76" s="6"/>
      <c r="F76" s="6"/>
      <c r="G76" s="6"/>
      <c r="H76" s="6"/>
      <c r="I76" s="12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>
      <c r="A77" s="6"/>
      <c r="B77" s="6"/>
      <c r="C77" s="6"/>
      <c r="D77" s="6"/>
      <c r="E77" s="6"/>
      <c r="F77" s="6"/>
      <c r="G77" s="6"/>
      <c r="H77" s="6"/>
      <c r="I77" s="12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>
      <c r="A78" s="6"/>
      <c r="B78" s="6"/>
      <c r="C78" s="6"/>
      <c r="D78" s="6"/>
      <c r="E78" s="6"/>
      <c r="F78" s="6"/>
      <c r="G78" s="6"/>
      <c r="H78" s="6"/>
      <c r="I78" s="12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>
      <c r="A79" s="6"/>
      <c r="B79" s="6"/>
      <c r="C79" s="6"/>
      <c r="D79" s="6"/>
      <c r="E79" s="6"/>
      <c r="F79" s="6"/>
      <c r="G79" s="6"/>
      <c r="H79" s="6"/>
      <c r="I79" s="12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>
      <c r="A80" s="6"/>
      <c r="B80" s="6"/>
      <c r="C80" s="6"/>
      <c r="D80" s="6"/>
      <c r="E80" s="6"/>
      <c r="F80" s="6"/>
      <c r="G80" s="6"/>
      <c r="H80" s="6"/>
      <c r="I80" s="12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>
      <c r="A81" s="6"/>
      <c r="B81" s="6"/>
      <c r="C81" s="6"/>
      <c r="D81" s="6"/>
      <c r="E81" s="6"/>
      <c r="F81" s="6"/>
      <c r="G81" s="6"/>
      <c r="H81" s="6"/>
      <c r="I81" s="12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>
      <c r="A82" s="6"/>
      <c r="B82" s="6"/>
      <c r="C82" s="6"/>
      <c r="D82" s="6"/>
      <c r="E82" s="6"/>
      <c r="F82" s="6"/>
      <c r="G82" s="6"/>
      <c r="H82" s="6"/>
      <c r="I82" s="12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>
      <c r="A83" s="6"/>
      <c r="B83" s="6"/>
      <c r="C83" s="6"/>
      <c r="D83" s="6"/>
      <c r="E83" s="6"/>
      <c r="F83" s="6"/>
      <c r="G83" s="6"/>
      <c r="H83" s="6"/>
      <c r="I83" s="12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>
      <c r="A84" s="6"/>
      <c r="B84" s="6"/>
      <c r="C84" s="6"/>
      <c r="D84" s="6"/>
      <c r="E84" s="6"/>
      <c r="F84" s="6"/>
      <c r="G84" s="6"/>
      <c r="H84" s="6"/>
      <c r="I84" s="12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>
      <c r="A85" s="6"/>
      <c r="B85" s="6"/>
      <c r="C85" s="6"/>
      <c r="D85" s="6"/>
      <c r="E85" s="6"/>
      <c r="F85" s="6"/>
      <c r="G85" s="6"/>
      <c r="H85" s="6"/>
      <c r="I85" s="12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12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>
      <c r="A87" s="6"/>
      <c r="B87" s="6"/>
      <c r="C87" s="6"/>
      <c r="D87" s="6"/>
      <c r="E87" s="6"/>
      <c r="F87" s="6"/>
      <c r="G87" s="6"/>
      <c r="H87" s="6"/>
      <c r="I87" s="12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>
      <c r="A88" s="6"/>
      <c r="B88" s="6"/>
      <c r="C88" s="6"/>
      <c r="D88" s="6"/>
      <c r="E88" s="6"/>
      <c r="F88" s="6"/>
      <c r="G88" s="6"/>
      <c r="H88" s="6"/>
      <c r="I88" s="12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>
      <c r="A89" s="6"/>
      <c r="B89" s="6"/>
      <c r="C89" s="6"/>
      <c r="D89" s="6"/>
      <c r="E89" s="6"/>
      <c r="F89" s="6"/>
      <c r="G89" s="6"/>
      <c r="H89" s="6"/>
      <c r="I89" s="12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>
      <c r="A90" s="6"/>
      <c r="B90" s="6"/>
      <c r="C90" s="6"/>
      <c r="D90" s="6"/>
      <c r="E90" s="6"/>
      <c r="F90" s="6"/>
      <c r="G90" s="6"/>
      <c r="H90" s="6"/>
      <c r="I90" s="12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>
      <c r="A91" s="6"/>
      <c r="B91" s="6"/>
      <c r="C91" s="6"/>
      <c r="D91" s="6"/>
      <c r="E91" s="6"/>
      <c r="F91" s="6"/>
      <c r="G91" s="6"/>
      <c r="H91" s="6"/>
      <c r="I91" s="12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>
      <c r="A92" s="6"/>
      <c r="B92" s="6"/>
      <c r="C92" s="6"/>
      <c r="D92" s="6"/>
      <c r="E92" s="6"/>
      <c r="F92" s="6"/>
      <c r="G92" s="6"/>
      <c r="H92" s="6"/>
      <c r="I92" s="12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>
      <c r="A93" s="6"/>
      <c r="B93" s="6"/>
      <c r="C93" s="6"/>
      <c r="D93" s="6"/>
      <c r="E93" s="6"/>
      <c r="F93" s="6"/>
      <c r="G93" s="6"/>
      <c r="H93" s="6"/>
      <c r="I93" s="12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>
      <c r="A94" s="6"/>
      <c r="B94" s="6"/>
      <c r="C94" s="6"/>
      <c r="D94" s="6"/>
      <c r="E94" s="6"/>
      <c r="F94" s="6"/>
      <c r="G94" s="6"/>
      <c r="H94" s="6"/>
      <c r="I94" s="12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>
      <c r="A95" s="6"/>
      <c r="B95" s="6"/>
      <c r="C95" s="6"/>
      <c r="D95" s="6"/>
      <c r="E95" s="6"/>
      <c r="F95" s="6"/>
      <c r="G95" s="6"/>
      <c r="H95" s="6"/>
      <c r="I95" s="12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>
      <c r="A96" s="6"/>
      <c r="B96" s="6"/>
      <c r="C96" s="6"/>
      <c r="D96" s="6"/>
      <c r="E96" s="6"/>
      <c r="F96" s="6"/>
      <c r="G96" s="6"/>
      <c r="H96" s="6"/>
      <c r="I96" s="12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>
      <c r="A97" s="6"/>
      <c r="B97" s="6"/>
      <c r="C97" s="6"/>
      <c r="D97" s="6"/>
      <c r="E97" s="6"/>
      <c r="F97" s="6"/>
      <c r="G97" s="6"/>
      <c r="H97" s="6"/>
      <c r="I97" s="12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>
      <c r="A98" s="6"/>
      <c r="B98" s="6"/>
      <c r="C98" s="6"/>
      <c r="D98" s="6"/>
      <c r="E98" s="6"/>
      <c r="F98" s="6"/>
      <c r="G98" s="6"/>
      <c r="H98" s="6"/>
      <c r="I98" s="12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>
      <c r="A99" s="6"/>
      <c r="B99" s="6"/>
      <c r="C99" s="6"/>
      <c r="D99" s="6"/>
      <c r="E99" s="6"/>
      <c r="F99" s="6"/>
      <c r="G99" s="6"/>
      <c r="H99" s="6"/>
      <c r="I99" s="12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>
      <c r="A100" s="6"/>
      <c r="B100" s="6"/>
      <c r="C100" s="6"/>
      <c r="D100" s="6"/>
      <c r="E100" s="6"/>
      <c r="F100" s="6"/>
      <c r="G100" s="6"/>
      <c r="H100" s="6"/>
      <c r="I100" s="12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>
      <c r="A101" s="6"/>
      <c r="B101" s="6"/>
      <c r="C101" s="6"/>
      <c r="D101" s="6"/>
      <c r="E101" s="6"/>
      <c r="F101" s="6"/>
      <c r="G101" s="6"/>
      <c r="H101" s="6"/>
      <c r="I101" s="12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>
      <c r="A102" s="6"/>
      <c r="B102" s="6"/>
      <c r="C102" s="6"/>
      <c r="D102" s="6"/>
      <c r="E102" s="6"/>
      <c r="F102" s="6"/>
      <c r="G102" s="6"/>
      <c r="H102" s="6"/>
      <c r="I102" s="12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>
      <c r="A103" s="6"/>
      <c r="B103" s="6"/>
      <c r="C103" s="6"/>
      <c r="D103" s="6"/>
      <c r="E103" s="6"/>
      <c r="F103" s="6"/>
      <c r="G103" s="6"/>
      <c r="H103" s="6"/>
      <c r="I103" s="12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>
      <c r="A104" s="6"/>
      <c r="B104" s="6"/>
      <c r="C104" s="6"/>
      <c r="D104" s="6"/>
      <c r="E104" s="6"/>
      <c r="F104" s="6"/>
      <c r="G104" s="6"/>
      <c r="H104" s="6"/>
      <c r="I104" s="12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>
      <c r="A105" s="6"/>
      <c r="B105" s="6"/>
      <c r="C105" s="6"/>
      <c r="D105" s="6"/>
      <c r="E105" s="6"/>
      <c r="F105" s="6"/>
      <c r="G105" s="6"/>
      <c r="H105" s="6"/>
      <c r="I105" s="12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>
      <c r="A106" s="6"/>
      <c r="B106" s="6"/>
      <c r="C106" s="6"/>
      <c r="D106" s="6"/>
      <c r="E106" s="6"/>
      <c r="F106" s="6"/>
      <c r="G106" s="6"/>
      <c r="H106" s="6"/>
      <c r="I106" s="12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>
      <c r="A107" s="6"/>
      <c r="B107" s="6"/>
      <c r="C107" s="6"/>
      <c r="D107" s="6"/>
      <c r="E107" s="6"/>
      <c r="F107" s="6"/>
      <c r="G107" s="6"/>
      <c r="H107" s="6"/>
      <c r="I107" s="12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>
      <c r="A108" s="6"/>
      <c r="B108" s="6"/>
      <c r="C108" s="6"/>
      <c r="D108" s="6"/>
      <c r="E108" s="6"/>
      <c r="F108" s="6"/>
      <c r="G108" s="6"/>
      <c r="H108" s="6"/>
      <c r="I108" s="12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>
      <c r="A109" s="6"/>
      <c r="B109" s="6"/>
      <c r="C109" s="6"/>
      <c r="D109" s="6"/>
      <c r="E109" s="6"/>
      <c r="F109" s="6"/>
      <c r="G109" s="6"/>
      <c r="H109" s="6"/>
      <c r="I109" s="12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>
      <c r="A110" s="6"/>
      <c r="B110" s="6"/>
      <c r="C110" s="6"/>
      <c r="D110" s="6"/>
      <c r="E110" s="6"/>
      <c r="F110" s="6"/>
      <c r="G110" s="6"/>
      <c r="H110" s="6"/>
      <c r="I110" s="12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>
      <c r="A111" s="6"/>
      <c r="B111" s="6"/>
      <c r="C111" s="6"/>
      <c r="D111" s="6"/>
      <c r="E111" s="6"/>
      <c r="F111" s="6"/>
      <c r="G111" s="6"/>
      <c r="H111" s="6"/>
      <c r="I111" s="12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>
      <c r="A112" s="6"/>
      <c r="B112" s="6"/>
      <c r="C112" s="6"/>
      <c r="D112" s="6"/>
      <c r="E112" s="6"/>
      <c r="F112" s="6"/>
      <c r="G112" s="6"/>
      <c r="H112" s="6"/>
      <c r="I112" s="12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>
      <c r="A113" s="6"/>
      <c r="B113" s="6"/>
      <c r="C113" s="6"/>
      <c r="D113" s="6"/>
      <c r="E113" s="6"/>
      <c r="F113" s="6"/>
      <c r="G113" s="6"/>
      <c r="H113" s="6"/>
      <c r="I113" s="12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>
      <c r="A114" s="6"/>
      <c r="B114" s="6"/>
      <c r="C114" s="6"/>
      <c r="D114" s="6"/>
      <c r="E114" s="6"/>
      <c r="F114" s="6"/>
      <c r="G114" s="6"/>
      <c r="H114" s="6"/>
      <c r="I114" s="12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>
      <c r="A115" s="6"/>
      <c r="B115" s="6"/>
      <c r="C115" s="6"/>
      <c r="D115" s="6"/>
      <c r="E115" s="6"/>
      <c r="F115" s="6"/>
      <c r="G115" s="6"/>
      <c r="H115" s="6"/>
      <c r="I115" s="12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>
      <c r="A116" s="6"/>
      <c r="B116" s="6"/>
      <c r="C116" s="6"/>
      <c r="D116" s="6"/>
      <c r="E116" s="6"/>
      <c r="F116" s="6"/>
      <c r="G116" s="6"/>
      <c r="H116" s="6"/>
      <c r="I116" s="12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>
      <c r="A117" s="6"/>
      <c r="B117" s="6"/>
      <c r="C117" s="6"/>
      <c r="D117" s="6"/>
      <c r="E117" s="6"/>
      <c r="F117" s="6"/>
      <c r="G117" s="6"/>
      <c r="H117" s="6"/>
      <c r="I117" s="12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>
      <c r="A118" s="6"/>
      <c r="B118" s="6"/>
      <c r="C118" s="6"/>
      <c r="D118" s="6"/>
      <c r="E118" s="6"/>
      <c r="F118" s="6"/>
      <c r="G118" s="6"/>
      <c r="H118" s="6"/>
      <c r="I118" s="12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>
      <c r="A119" s="6"/>
      <c r="B119" s="6"/>
      <c r="C119" s="6"/>
      <c r="D119" s="6"/>
      <c r="E119" s="6"/>
      <c r="F119" s="6"/>
      <c r="G119" s="6"/>
      <c r="H119" s="6"/>
      <c r="I119" s="12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>
      <c r="A120" s="6"/>
      <c r="B120" s="6"/>
      <c r="C120" s="6"/>
      <c r="D120" s="6"/>
      <c r="E120" s="6"/>
      <c r="F120" s="6"/>
      <c r="G120" s="6"/>
      <c r="H120" s="6"/>
      <c r="I120" s="12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>
      <c r="A121" s="6"/>
      <c r="B121" s="6"/>
      <c r="C121" s="6"/>
      <c r="D121" s="6"/>
      <c r="E121" s="6"/>
      <c r="F121" s="6"/>
      <c r="G121" s="6"/>
      <c r="H121" s="6"/>
      <c r="I121" s="12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>
      <c r="A122" s="6"/>
      <c r="B122" s="6"/>
      <c r="C122" s="6"/>
      <c r="D122" s="6"/>
      <c r="E122" s="6"/>
      <c r="F122" s="6"/>
      <c r="G122" s="6"/>
      <c r="H122" s="6"/>
      <c r="I122" s="12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>
      <c r="A123" s="6"/>
      <c r="B123" s="6"/>
      <c r="C123" s="6"/>
      <c r="D123" s="6"/>
      <c r="E123" s="6"/>
      <c r="F123" s="6"/>
      <c r="G123" s="6"/>
      <c r="H123" s="6"/>
      <c r="I123" s="12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>
      <c r="A124" s="6"/>
      <c r="B124" s="6"/>
      <c r="C124" s="6"/>
      <c r="D124" s="6"/>
      <c r="E124" s="6"/>
      <c r="F124" s="6"/>
      <c r="G124" s="6"/>
      <c r="H124" s="6"/>
      <c r="I124" s="12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>
      <c r="A125" s="6"/>
      <c r="B125" s="6"/>
      <c r="C125" s="6"/>
      <c r="D125" s="6"/>
      <c r="E125" s="6"/>
      <c r="F125" s="6"/>
      <c r="G125" s="6"/>
      <c r="H125" s="6"/>
      <c r="I125" s="12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>
      <c r="A126" s="6"/>
      <c r="B126" s="6"/>
      <c r="C126" s="6"/>
      <c r="D126" s="6"/>
      <c r="E126" s="6"/>
      <c r="F126" s="6"/>
      <c r="G126" s="6"/>
      <c r="H126" s="6"/>
      <c r="I126" s="12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>
      <c r="A127" s="6"/>
      <c r="B127" s="6"/>
      <c r="C127" s="6"/>
      <c r="D127" s="6"/>
      <c r="E127" s="6"/>
      <c r="F127" s="6"/>
      <c r="G127" s="6"/>
      <c r="H127" s="6"/>
      <c r="I127" s="12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>
      <c r="A128" s="6"/>
      <c r="B128" s="6"/>
      <c r="C128" s="6"/>
      <c r="D128" s="6"/>
      <c r="E128" s="6"/>
      <c r="F128" s="6"/>
      <c r="G128" s="6"/>
      <c r="H128" s="6"/>
      <c r="I128" s="12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>
      <c r="A129" s="6"/>
      <c r="B129" s="6"/>
      <c r="C129" s="6"/>
      <c r="D129" s="6"/>
      <c r="E129" s="6"/>
      <c r="F129" s="6"/>
      <c r="G129" s="6"/>
      <c r="H129" s="6"/>
      <c r="I129" s="12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>
      <c r="A130" s="6"/>
      <c r="B130" s="6"/>
      <c r="C130" s="6"/>
      <c r="D130" s="6"/>
      <c r="E130" s="6"/>
      <c r="F130" s="6"/>
      <c r="G130" s="6"/>
      <c r="H130" s="6"/>
      <c r="I130" s="12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>
      <c r="A131" s="6"/>
      <c r="B131" s="6"/>
      <c r="C131" s="6"/>
      <c r="D131" s="6"/>
      <c r="E131" s="6"/>
      <c r="F131" s="6"/>
      <c r="G131" s="6"/>
      <c r="H131" s="6"/>
      <c r="I131" s="12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>
      <c r="A132" s="6"/>
      <c r="B132" s="6"/>
      <c r="C132" s="6"/>
      <c r="D132" s="6"/>
      <c r="E132" s="6"/>
      <c r="F132" s="6"/>
      <c r="G132" s="6"/>
      <c r="H132" s="6"/>
      <c r="I132" s="12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>
      <c r="A133" s="6"/>
      <c r="B133" s="6"/>
      <c r="C133" s="6"/>
      <c r="D133" s="6"/>
      <c r="E133" s="6"/>
      <c r="F133" s="6"/>
      <c r="G133" s="6"/>
      <c r="H133" s="6"/>
      <c r="I133" s="12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>
      <c r="A134" s="6"/>
      <c r="B134" s="6"/>
      <c r="C134" s="6"/>
      <c r="D134" s="6"/>
      <c r="E134" s="6"/>
      <c r="F134" s="6"/>
      <c r="G134" s="6"/>
      <c r="H134" s="6"/>
      <c r="I134" s="12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>
      <c r="A135" s="6"/>
      <c r="B135" s="6"/>
      <c r="C135" s="6"/>
      <c r="D135" s="6"/>
      <c r="E135" s="6"/>
      <c r="F135" s="6"/>
      <c r="G135" s="6"/>
      <c r="H135" s="6"/>
      <c r="I135" s="12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>
      <c r="A136" s="6"/>
      <c r="B136" s="6"/>
      <c r="C136" s="6"/>
      <c r="D136" s="6"/>
      <c r="E136" s="6"/>
      <c r="F136" s="6"/>
      <c r="G136" s="6"/>
      <c r="H136" s="6"/>
      <c r="I136" s="12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>
      <c r="A137" s="6"/>
      <c r="B137" s="6"/>
      <c r="C137" s="6"/>
      <c r="D137" s="6"/>
      <c r="E137" s="6"/>
      <c r="F137" s="6"/>
      <c r="G137" s="6"/>
      <c r="H137" s="6"/>
      <c r="I137" s="12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>
      <c r="A138" s="6"/>
      <c r="B138" s="6"/>
      <c r="C138" s="6"/>
      <c r="D138" s="6"/>
      <c r="E138" s="6"/>
      <c r="F138" s="6"/>
      <c r="G138" s="6"/>
      <c r="H138" s="6"/>
      <c r="I138" s="12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>
      <c r="A139" s="6"/>
      <c r="B139" s="6"/>
      <c r="C139" s="6"/>
      <c r="D139" s="6"/>
      <c r="E139" s="6"/>
      <c r="F139" s="6"/>
      <c r="G139" s="6"/>
      <c r="H139" s="6"/>
      <c r="I139" s="12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>
      <c r="A140" s="6"/>
      <c r="B140" s="6"/>
      <c r="C140" s="6"/>
      <c r="D140" s="6"/>
      <c r="E140" s="6"/>
      <c r="F140" s="6"/>
      <c r="G140" s="6"/>
      <c r="H140" s="6"/>
      <c r="I140" s="12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>
      <c r="A141" s="6"/>
      <c r="B141" s="6"/>
      <c r="C141" s="6"/>
      <c r="D141" s="6"/>
      <c r="E141" s="6"/>
      <c r="F141" s="6"/>
      <c r="G141" s="6"/>
      <c r="H141" s="6"/>
      <c r="I141" s="12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>
      <c r="A142" s="6"/>
      <c r="B142" s="6"/>
      <c r="C142" s="6"/>
      <c r="D142" s="6"/>
      <c r="E142" s="6"/>
      <c r="F142" s="6"/>
      <c r="G142" s="6"/>
      <c r="H142" s="6"/>
      <c r="I142" s="12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>
      <c r="A143" s="6"/>
      <c r="B143" s="6"/>
      <c r="C143" s="6"/>
      <c r="D143" s="6"/>
      <c r="E143" s="6"/>
      <c r="F143" s="6"/>
      <c r="G143" s="6"/>
      <c r="H143" s="6"/>
      <c r="I143" s="12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>
      <c r="A144" s="6"/>
      <c r="B144" s="6"/>
      <c r="C144" s="6"/>
      <c r="D144" s="6"/>
      <c r="E144" s="6"/>
      <c r="F144" s="6"/>
      <c r="G144" s="6"/>
      <c r="H144" s="6"/>
      <c r="I144" s="12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>
      <c r="A145" s="6"/>
      <c r="B145" s="6"/>
      <c r="C145" s="6"/>
      <c r="D145" s="6"/>
      <c r="E145" s="6"/>
      <c r="F145" s="6"/>
      <c r="G145" s="6"/>
      <c r="H145" s="6"/>
      <c r="I145" s="12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>
      <c r="A146" s="6"/>
      <c r="B146" s="6"/>
      <c r="C146" s="6"/>
      <c r="D146" s="6"/>
      <c r="E146" s="6"/>
      <c r="F146" s="6"/>
      <c r="G146" s="6"/>
      <c r="H146" s="6"/>
      <c r="I146" s="12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>
      <c r="A147" s="6"/>
      <c r="B147" s="6"/>
      <c r="C147" s="6"/>
      <c r="D147" s="6"/>
      <c r="E147" s="6"/>
      <c r="F147" s="6"/>
      <c r="G147" s="6"/>
      <c r="H147" s="6"/>
      <c r="I147" s="12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>
      <c r="A148" s="6"/>
      <c r="B148" s="6"/>
      <c r="C148" s="6"/>
      <c r="D148" s="6"/>
      <c r="E148" s="6"/>
      <c r="F148" s="6"/>
      <c r="G148" s="6"/>
      <c r="H148" s="6"/>
      <c r="I148" s="12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>
      <c r="A149" s="6"/>
      <c r="B149" s="6"/>
      <c r="C149" s="6"/>
      <c r="D149" s="6"/>
      <c r="E149" s="6"/>
      <c r="F149" s="6"/>
      <c r="G149" s="6"/>
      <c r="H149" s="6"/>
      <c r="I149" s="12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>
      <c r="A150" s="6"/>
      <c r="B150" s="6"/>
      <c r="C150" s="6"/>
      <c r="D150" s="6"/>
      <c r="E150" s="6"/>
      <c r="F150" s="6"/>
      <c r="G150" s="6"/>
      <c r="H150" s="6"/>
      <c r="I150" s="12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>
      <c r="A151" s="6"/>
      <c r="B151" s="6"/>
      <c r="C151" s="6"/>
      <c r="D151" s="6"/>
      <c r="E151" s="6"/>
      <c r="F151" s="6"/>
      <c r="G151" s="6"/>
      <c r="H151" s="6"/>
      <c r="I151" s="12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>
      <c r="A152" s="6"/>
      <c r="B152" s="6"/>
      <c r="C152" s="6"/>
      <c r="D152" s="6"/>
      <c r="E152" s="6"/>
      <c r="F152" s="6"/>
      <c r="G152" s="6"/>
      <c r="H152" s="6"/>
      <c r="I152" s="12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>
      <c r="A153" s="6"/>
      <c r="B153" s="6"/>
      <c r="C153" s="6"/>
      <c r="D153" s="6"/>
      <c r="E153" s="6"/>
      <c r="F153" s="6"/>
      <c r="G153" s="6"/>
      <c r="H153" s="6"/>
      <c r="I153" s="12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>
      <c r="A154" s="6"/>
      <c r="B154" s="6"/>
      <c r="C154" s="6"/>
      <c r="D154" s="6"/>
      <c r="E154" s="6"/>
      <c r="F154" s="6"/>
      <c r="G154" s="6"/>
      <c r="H154" s="6"/>
      <c r="I154" s="12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>
      <c r="A155" s="6"/>
      <c r="B155" s="6"/>
      <c r="C155" s="6"/>
      <c r="D155" s="6"/>
      <c r="E155" s="6"/>
      <c r="F155" s="6"/>
      <c r="G155" s="6"/>
      <c r="H155" s="6"/>
      <c r="I155" s="12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>
      <c r="A156" s="6"/>
      <c r="B156" s="6"/>
      <c r="C156" s="6"/>
      <c r="D156" s="6"/>
      <c r="E156" s="6"/>
      <c r="F156" s="6"/>
      <c r="G156" s="6"/>
      <c r="H156" s="6"/>
      <c r="I156" s="12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>
      <c r="A157" s="6"/>
      <c r="B157" s="6"/>
      <c r="C157" s="6"/>
      <c r="D157" s="6"/>
      <c r="E157" s="6"/>
      <c r="F157" s="6"/>
      <c r="G157" s="6"/>
      <c r="H157" s="6"/>
      <c r="I157" s="12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>
      <c r="A158" s="6"/>
      <c r="B158" s="6"/>
      <c r="C158" s="6"/>
      <c r="D158" s="6"/>
      <c r="E158" s="6"/>
      <c r="F158" s="6"/>
      <c r="G158" s="6"/>
      <c r="H158" s="6"/>
      <c r="I158" s="12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>
      <c r="A159" s="6"/>
      <c r="B159" s="6"/>
      <c r="C159" s="6"/>
      <c r="D159" s="6"/>
      <c r="E159" s="6"/>
      <c r="F159" s="6"/>
      <c r="G159" s="6"/>
      <c r="H159" s="6"/>
      <c r="I159" s="12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>
      <c r="A160" s="6"/>
      <c r="B160" s="6"/>
      <c r="C160" s="6"/>
      <c r="D160" s="6"/>
      <c r="E160" s="6"/>
      <c r="F160" s="6"/>
      <c r="G160" s="6"/>
      <c r="H160" s="6"/>
      <c r="I160" s="12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>
      <c r="A161" s="6"/>
      <c r="B161" s="6"/>
      <c r="C161" s="6"/>
      <c r="D161" s="6"/>
      <c r="E161" s="6"/>
      <c r="F161" s="6"/>
      <c r="G161" s="6"/>
      <c r="H161" s="6"/>
      <c r="I161" s="12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>
      <c r="A162" s="6"/>
      <c r="B162" s="6"/>
      <c r="C162" s="6"/>
      <c r="D162" s="6"/>
      <c r="E162" s="6"/>
      <c r="F162" s="6"/>
      <c r="G162" s="6"/>
      <c r="H162" s="6"/>
      <c r="I162" s="12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>
      <c r="A163" s="6"/>
      <c r="B163" s="6"/>
      <c r="C163" s="6"/>
      <c r="D163" s="6"/>
      <c r="E163" s="6"/>
      <c r="F163" s="6"/>
      <c r="G163" s="6"/>
      <c r="H163" s="6"/>
      <c r="I163" s="12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>
      <c r="A164" s="6"/>
      <c r="B164" s="6"/>
      <c r="C164" s="6"/>
      <c r="D164" s="6"/>
      <c r="E164" s="6"/>
      <c r="F164" s="6"/>
      <c r="G164" s="6"/>
      <c r="H164" s="6"/>
      <c r="I164" s="12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>
      <c r="A165" s="6"/>
      <c r="B165" s="6"/>
      <c r="C165" s="6"/>
      <c r="D165" s="6"/>
      <c r="E165" s="6"/>
      <c r="F165" s="6"/>
      <c r="G165" s="6"/>
      <c r="H165" s="6"/>
      <c r="I165" s="12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>
      <c r="A166" s="6"/>
      <c r="B166" s="6"/>
      <c r="C166" s="6"/>
      <c r="D166" s="6"/>
      <c r="E166" s="6"/>
      <c r="F166" s="6"/>
      <c r="G166" s="6"/>
      <c r="H166" s="6"/>
      <c r="I166" s="12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>
      <c r="A167" s="6"/>
      <c r="B167" s="6"/>
      <c r="C167" s="6"/>
      <c r="D167" s="6"/>
      <c r="E167" s="6"/>
      <c r="F167" s="6"/>
      <c r="G167" s="6"/>
      <c r="H167" s="6"/>
      <c r="I167" s="12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>
      <c r="A168" s="6"/>
      <c r="B168" s="6"/>
      <c r="C168" s="6"/>
      <c r="D168" s="6"/>
      <c r="E168" s="6"/>
      <c r="F168" s="6"/>
      <c r="G168" s="6"/>
      <c r="H168" s="6"/>
      <c r="I168" s="12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>
      <c r="A169" s="6"/>
      <c r="B169" s="6"/>
      <c r="C169" s="6"/>
      <c r="D169" s="6"/>
      <c r="E169" s="6"/>
      <c r="F169" s="6"/>
      <c r="G169" s="6"/>
      <c r="H169" s="6"/>
      <c r="I169" s="12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>
      <c r="A170" s="6"/>
      <c r="B170" s="6"/>
      <c r="C170" s="6"/>
      <c r="D170" s="6"/>
      <c r="E170" s="6"/>
      <c r="F170" s="6"/>
      <c r="G170" s="6"/>
      <c r="H170" s="6"/>
      <c r="I170" s="12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>
      <c r="A171" s="6"/>
      <c r="B171" s="6"/>
      <c r="C171" s="6"/>
      <c r="D171" s="6"/>
      <c r="E171" s="6"/>
      <c r="F171" s="6"/>
      <c r="G171" s="6"/>
      <c r="H171" s="6"/>
      <c r="I171" s="12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>
      <c r="A172" s="6"/>
      <c r="B172" s="6"/>
      <c r="C172" s="6"/>
      <c r="D172" s="6"/>
      <c r="E172" s="6"/>
      <c r="F172" s="6"/>
      <c r="G172" s="6"/>
      <c r="H172" s="6"/>
      <c r="I172" s="12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>
      <c r="A173" s="6"/>
      <c r="B173" s="6"/>
      <c r="C173" s="6"/>
      <c r="D173" s="6"/>
      <c r="E173" s="6"/>
      <c r="F173" s="6"/>
      <c r="G173" s="6"/>
      <c r="H173" s="6"/>
      <c r="I173" s="12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>
      <c r="A174" s="6"/>
      <c r="B174" s="6"/>
      <c r="C174" s="6"/>
      <c r="D174" s="6"/>
      <c r="E174" s="6"/>
      <c r="F174" s="6"/>
      <c r="G174" s="6"/>
      <c r="H174" s="6"/>
      <c r="I174" s="12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>
      <c r="A175" s="6"/>
      <c r="B175" s="6"/>
      <c r="C175" s="6"/>
      <c r="D175" s="6"/>
      <c r="E175" s="6"/>
      <c r="F175" s="6"/>
      <c r="G175" s="6"/>
      <c r="H175" s="6"/>
      <c r="I175" s="12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>
      <c r="A176" s="6"/>
      <c r="B176" s="6"/>
      <c r="C176" s="6"/>
      <c r="D176" s="6"/>
      <c r="E176" s="6"/>
      <c r="F176" s="6"/>
      <c r="G176" s="6"/>
      <c r="H176" s="6"/>
      <c r="I176" s="12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>
      <c r="A177" s="6"/>
      <c r="B177" s="6"/>
      <c r="C177" s="6"/>
      <c r="D177" s="6"/>
      <c r="E177" s="6"/>
      <c r="F177" s="6"/>
      <c r="G177" s="6"/>
      <c r="H177" s="6"/>
      <c r="I177" s="12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>
      <c r="A178" s="6"/>
      <c r="B178" s="6"/>
      <c r="C178" s="6"/>
      <c r="D178" s="6"/>
      <c r="E178" s="6"/>
      <c r="F178" s="6"/>
      <c r="G178" s="6"/>
      <c r="H178" s="6"/>
      <c r="I178" s="12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>
      <c r="A179" s="6"/>
      <c r="B179" s="6"/>
      <c r="C179" s="6"/>
      <c r="D179" s="6"/>
      <c r="E179" s="6"/>
      <c r="F179" s="6"/>
      <c r="G179" s="6"/>
      <c r="H179" s="6"/>
      <c r="I179" s="12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>
      <c r="A180" s="6"/>
      <c r="B180" s="6"/>
      <c r="C180" s="6"/>
      <c r="D180" s="6"/>
      <c r="E180" s="6"/>
      <c r="F180" s="6"/>
      <c r="G180" s="6"/>
      <c r="H180" s="6"/>
      <c r="I180" s="12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>
      <c r="A181" s="6"/>
      <c r="B181" s="6"/>
      <c r="C181" s="6"/>
      <c r="D181" s="6"/>
      <c r="E181" s="6"/>
      <c r="F181" s="6"/>
      <c r="G181" s="6"/>
      <c r="H181" s="6"/>
      <c r="I181" s="12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>
      <c r="A182" s="6"/>
      <c r="B182" s="6"/>
      <c r="C182" s="6"/>
      <c r="D182" s="6"/>
      <c r="E182" s="6"/>
      <c r="F182" s="6"/>
      <c r="G182" s="6"/>
      <c r="H182" s="6"/>
      <c r="I182" s="12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>
      <c r="A183" s="6"/>
      <c r="B183" s="6"/>
      <c r="C183" s="6"/>
      <c r="D183" s="6"/>
      <c r="E183" s="6"/>
      <c r="F183" s="6"/>
      <c r="G183" s="6"/>
      <c r="H183" s="6"/>
      <c r="I183" s="12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>
      <c r="A184" s="6"/>
      <c r="B184" s="6"/>
      <c r="C184" s="6"/>
      <c r="D184" s="6"/>
      <c r="E184" s="6"/>
      <c r="F184" s="6"/>
      <c r="G184" s="6"/>
      <c r="H184" s="6"/>
      <c r="I184" s="12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>
      <c r="A185" s="6"/>
      <c r="B185" s="6"/>
      <c r="C185" s="6"/>
      <c r="D185" s="6"/>
      <c r="E185" s="6"/>
      <c r="F185" s="6"/>
      <c r="G185" s="6"/>
      <c r="H185" s="6"/>
      <c r="I185" s="12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>
      <c r="A186" s="6"/>
      <c r="B186" s="6"/>
      <c r="C186" s="6"/>
      <c r="D186" s="6"/>
      <c r="E186" s="6"/>
      <c r="F186" s="6"/>
      <c r="G186" s="6"/>
      <c r="H186" s="6"/>
      <c r="I186" s="12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>
      <c r="A187" s="6"/>
      <c r="B187" s="6"/>
      <c r="C187" s="6"/>
      <c r="D187" s="6"/>
      <c r="E187" s="6"/>
      <c r="F187" s="6"/>
      <c r="G187" s="6"/>
      <c r="H187" s="6"/>
      <c r="I187" s="12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>
      <c r="A188" s="6"/>
      <c r="B188" s="6"/>
      <c r="C188" s="6"/>
      <c r="D188" s="6"/>
      <c r="E188" s="6"/>
      <c r="F188" s="6"/>
      <c r="G188" s="6"/>
      <c r="H188" s="6"/>
      <c r="I188" s="12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>
      <c r="A189" s="6"/>
      <c r="B189" s="6"/>
      <c r="C189" s="6"/>
      <c r="D189" s="6"/>
      <c r="E189" s="6"/>
      <c r="F189" s="6"/>
      <c r="G189" s="6"/>
      <c r="H189" s="6"/>
      <c r="I189" s="12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>
      <c r="A190" s="6"/>
      <c r="B190" s="6"/>
      <c r="C190" s="6"/>
      <c r="D190" s="6"/>
      <c r="E190" s="6"/>
      <c r="F190" s="6"/>
      <c r="G190" s="6"/>
      <c r="H190" s="6"/>
      <c r="I190" s="12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>
      <c r="A191" s="6"/>
      <c r="B191" s="6"/>
      <c r="C191" s="6"/>
      <c r="D191" s="6"/>
      <c r="E191" s="6"/>
      <c r="F191" s="6"/>
      <c r="G191" s="6"/>
      <c r="H191" s="6"/>
      <c r="I191" s="12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>
      <c r="A192" s="6"/>
      <c r="B192" s="6"/>
      <c r="C192" s="6"/>
      <c r="D192" s="6"/>
      <c r="E192" s="6"/>
      <c r="F192" s="6"/>
      <c r="G192" s="6"/>
      <c r="H192" s="6"/>
      <c r="I192" s="12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>
      <c r="A193" s="6"/>
      <c r="B193" s="6"/>
      <c r="C193" s="6"/>
      <c r="D193" s="6"/>
      <c r="E193" s="6"/>
      <c r="F193" s="6"/>
      <c r="G193" s="6"/>
      <c r="H193" s="6"/>
      <c r="I193" s="12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>
      <c r="A194" s="6"/>
      <c r="B194" s="6"/>
      <c r="C194" s="6"/>
      <c r="D194" s="6"/>
      <c r="E194" s="6"/>
      <c r="F194" s="6"/>
      <c r="G194" s="6"/>
      <c r="H194" s="6"/>
      <c r="I194" s="12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>
      <c r="A195" s="6"/>
      <c r="B195" s="6"/>
      <c r="C195" s="6"/>
      <c r="D195" s="6"/>
      <c r="E195" s="6"/>
      <c r="F195" s="6"/>
      <c r="G195" s="6"/>
      <c r="H195" s="6"/>
      <c r="I195" s="12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>
      <c r="A196" s="6"/>
      <c r="B196" s="6"/>
      <c r="C196" s="6"/>
      <c r="D196" s="6"/>
      <c r="E196" s="6"/>
      <c r="F196" s="6"/>
      <c r="G196" s="6"/>
      <c r="H196" s="6"/>
      <c r="I196" s="12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>
      <c r="A197" s="6"/>
      <c r="B197" s="6"/>
      <c r="C197" s="6"/>
      <c r="D197" s="6"/>
      <c r="E197" s="6"/>
      <c r="F197" s="6"/>
      <c r="G197" s="6"/>
      <c r="H197" s="6"/>
      <c r="I197" s="12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>
      <c r="A198" s="6"/>
      <c r="B198" s="6"/>
      <c r="C198" s="6"/>
      <c r="D198" s="6"/>
      <c r="E198" s="6"/>
      <c r="F198" s="6"/>
      <c r="G198" s="6"/>
      <c r="H198" s="6"/>
      <c r="I198" s="12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>
      <c r="A199" s="6"/>
      <c r="B199" s="6"/>
      <c r="C199" s="6"/>
      <c r="D199" s="6"/>
      <c r="E199" s="6"/>
      <c r="F199" s="6"/>
      <c r="G199" s="6"/>
      <c r="H199" s="6"/>
      <c r="I199" s="12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>
      <c r="A200" s="6"/>
      <c r="B200" s="6"/>
      <c r="C200" s="6"/>
      <c r="D200" s="6"/>
      <c r="E200" s="6"/>
      <c r="F200" s="6"/>
      <c r="G200" s="6"/>
      <c r="H200" s="6"/>
      <c r="I200" s="12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>
      <c r="A201" s="6"/>
      <c r="B201" s="6"/>
      <c r="C201" s="6"/>
      <c r="D201" s="6"/>
      <c r="E201" s="6"/>
      <c r="F201" s="6"/>
      <c r="G201" s="6"/>
      <c r="H201" s="6"/>
      <c r="I201" s="12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>
      <c r="A202" s="6"/>
      <c r="B202" s="6"/>
      <c r="C202" s="6"/>
      <c r="D202" s="6"/>
      <c r="E202" s="6"/>
      <c r="F202" s="6"/>
      <c r="G202" s="6"/>
      <c r="H202" s="6"/>
      <c r="I202" s="12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>
      <c r="A203" s="6"/>
      <c r="B203" s="6"/>
      <c r="C203" s="6"/>
      <c r="D203" s="6"/>
      <c r="E203" s="6"/>
      <c r="F203" s="6"/>
      <c r="G203" s="6"/>
      <c r="H203" s="6"/>
      <c r="I203" s="12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>
      <c r="A204" s="6"/>
      <c r="B204" s="6"/>
      <c r="C204" s="6"/>
      <c r="D204" s="6"/>
      <c r="E204" s="6"/>
      <c r="F204" s="6"/>
      <c r="G204" s="6"/>
      <c r="H204" s="6"/>
      <c r="I204" s="12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>
      <c r="A205" s="6"/>
      <c r="B205" s="6"/>
      <c r="C205" s="6"/>
      <c r="D205" s="6"/>
      <c r="E205" s="6"/>
      <c r="F205" s="6"/>
      <c r="G205" s="6"/>
      <c r="H205" s="6"/>
      <c r="I205" s="12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>
      <c r="A206" s="6"/>
      <c r="B206" s="6"/>
      <c r="C206" s="6"/>
      <c r="D206" s="6"/>
      <c r="E206" s="6"/>
      <c r="F206" s="6"/>
      <c r="G206" s="6"/>
      <c r="H206" s="6"/>
      <c r="I206" s="12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>
      <c r="A207" s="6"/>
      <c r="B207" s="6"/>
      <c r="C207" s="6"/>
      <c r="D207" s="6"/>
      <c r="E207" s="6"/>
      <c r="F207" s="6"/>
      <c r="G207" s="6"/>
      <c r="H207" s="6"/>
      <c r="I207" s="12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>
      <c r="A208" s="6"/>
      <c r="B208" s="6"/>
      <c r="C208" s="6"/>
      <c r="D208" s="6"/>
      <c r="E208" s="6"/>
      <c r="F208" s="6"/>
      <c r="G208" s="6"/>
      <c r="H208" s="6"/>
      <c r="I208" s="12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>
      <c r="A209" s="6"/>
      <c r="B209" s="6"/>
      <c r="C209" s="6"/>
      <c r="D209" s="6"/>
      <c r="E209" s="6"/>
      <c r="F209" s="6"/>
      <c r="G209" s="6"/>
      <c r="H209" s="6"/>
      <c r="I209" s="12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>
      <c r="A210" s="6"/>
      <c r="B210" s="6"/>
      <c r="C210" s="6"/>
      <c r="D210" s="6"/>
      <c r="E210" s="6"/>
      <c r="F210" s="6"/>
      <c r="G210" s="6"/>
      <c r="H210" s="6"/>
      <c r="I210" s="12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>
      <c r="A211" s="6"/>
      <c r="B211" s="6"/>
      <c r="C211" s="6"/>
      <c r="D211" s="6"/>
      <c r="E211" s="6"/>
      <c r="F211" s="6"/>
      <c r="G211" s="6"/>
      <c r="H211" s="6"/>
      <c r="I211" s="12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>
      <c r="A212" s="6"/>
      <c r="B212" s="6"/>
      <c r="C212" s="6"/>
      <c r="D212" s="6"/>
      <c r="E212" s="6"/>
      <c r="F212" s="6"/>
      <c r="G212" s="6"/>
      <c r="H212" s="6"/>
      <c r="I212" s="12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>
      <c r="A213" s="6"/>
      <c r="B213" s="6"/>
      <c r="C213" s="6"/>
      <c r="D213" s="6"/>
      <c r="E213" s="6"/>
      <c r="F213" s="6"/>
      <c r="G213" s="6"/>
      <c r="H213" s="6"/>
      <c r="I213" s="12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>
      <c r="A214" s="6"/>
      <c r="B214" s="6"/>
      <c r="C214" s="6"/>
      <c r="D214" s="6"/>
      <c r="E214" s="6"/>
      <c r="F214" s="6"/>
      <c r="G214" s="6"/>
      <c r="H214" s="6"/>
      <c r="I214" s="12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>
      <c r="A215" s="6"/>
      <c r="B215" s="6"/>
      <c r="C215" s="6"/>
      <c r="D215" s="6"/>
      <c r="E215" s="6"/>
      <c r="F215" s="6"/>
      <c r="G215" s="6"/>
      <c r="H215" s="6"/>
      <c r="I215" s="12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>
      <c r="A216" s="6"/>
      <c r="B216" s="6"/>
      <c r="C216" s="6"/>
      <c r="D216" s="6"/>
      <c r="E216" s="6"/>
      <c r="F216" s="6"/>
      <c r="G216" s="6"/>
      <c r="H216" s="6"/>
      <c r="I216" s="12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>
      <c r="A217" s="6"/>
      <c r="B217" s="6"/>
      <c r="C217" s="6"/>
      <c r="D217" s="6"/>
      <c r="E217" s="6"/>
      <c r="F217" s="6"/>
      <c r="G217" s="6"/>
      <c r="H217" s="6"/>
      <c r="I217" s="12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>
      <c r="A218" s="6"/>
      <c r="B218" s="6"/>
      <c r="C218" s="6"/>
      <c r="D218" s="6"/>
      <c r="E218" s="6"/>
      <c r="F218" s="6"/>
      <c r="G218" s="6"/>
      <c r="H218" s="6"/>
      <c r="I218" s="12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>
      <c r="A219" s="6"/>
      <c r="B219" s="6"/>
      <c r="C219" s="6"/>
      <c r="D219" s="6"/>
      <c r="E219" s="6"/>
      <c r="F219" s="6"/>
      <c r="G219" s="6"/>
      <c r="H219" s="6"/>
      <c r="I219" s="12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>
      <c r="A220" s="6"/>
      <c r="B220" s="6"/>
      <c r="C220" s="6"/>
      <c r="D220" s="6"/>
      <c r="E220" s="6"/>
      <c r="F220" s="6"/>
      <c r="G220" s="6"/>
      <c r="H220" s="6"/>
      <c r="I220" s="12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>
      <c r="A221" s="6"/>
      <c r="B221" s="6"/>
      <c r="C221" s="6"/>
      <c r="D221" s="6"/>
      <c r="E221" s="6"/>
      <c r="F221" s="6"/>
      <c r="G221" s="6"/>
      <c r="H221" s="6"/>
      <c r="I221" s="12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>
      <c r="A222" s="6"/>
      <c r="B222" s="6"/>
      <c r="C222" s="6"/>
      <c r="D222" s="6"/>
      <c r="E222" s="6"/>
      <c r="F222" s="6"/>
      <c r="G222" s="6"/>
      <c r="H222" s="6"/>
      <c r="I222" s="12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>
      <c r="A223" s="6"/>
      <c r="B223" s="6"/>
      <c r="C223" s="6"/>
      <c r="D223" s="6"/>
      <c r="E223" s="6"/>
      <c r="F223" s="6"/>
      <c r="G223" s="6"/>
      <c r="H223" s="6"/>
      <c r="I223" s="12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>
      <c r="A224" s="6"/>
      <c r="B224" s="6"/>
      <c r="C224" s="6"/>
      <c r="D224" s="6"/>
      <c r="E224" s="6"/>
      <c r="F224" s="6"/>
      <c r="G224" s="6"/>
      <c r="H224" s="6"/>
      <c r="I224" s="12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>
      <c r="A225" s="6"/>
      <c r="B225" s="6"/>
      <c r="C225" s="6"/>
      <c r="D225" s="6"/>
      <c r="E225" s="6"/>
      <c r="F225" s="6"/>
      <c r="G225" s="6"/>
      <c r="H225" s="6"/>
      <c r="I225" s="12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>
      <c r="A226" s="6"/>
      <c r="B226" s="6"/>
      <c r="C226" s="6"/>
      <c r="D226" s="6"/>
      <c r="E226" s="6"/>
      <c r="F226" s="6"/>
      <c r="G226" s="6"/>
      <c r="H226" s="6"/>
      <c r="I226" s="12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>
      <c r="A227" s="6"/>
      <c r="B227" s="6"/>
      <c r="C227" s="6"/>
      <c r="D227" s="6"/>
      <c r="E227" s="6"/>
      <c r="F227" s="6"/>
      <c r="G227" s="6"/>
      <c r="H227" s="6"/>
      <c r="I227" s="12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3">
    <mergeCell ref="Q3:R3"/>
    <mergeCell ref="Q4:R5"/>
    <mergeCell ref="Q7:R7"/>
    <mergeCell ref="K5:K7"/>
    <mergeCell ref="L5:L7"/>
    <mergeCell ref="M5:M7"/>
    <mergeCell ref="N5:N7"/>
    <mergeCell ref="O5:O7"/>
    <mergeCell ref="P5:P7"/>
    <mergeCell ref="K3:K4"/>
    <mergeCell ref="L3:L4"/>
    <mergeCell ref="M3:M4"/>
    <mergeCell ref="N3:N4"/>
    <mergeCell ref="A12:A19"/>
    <mergeCell ref="B12:B19"/>
    <mergeCell ref="C12:C19"/>
    <mergeCell ref="D12:D19"/>
    <mergeCell ref="E12:E15"/>
    <mergeCell ref="E16:E17"/>
    <mergeCell ref="E18:E19"/>
    <mergeCell ref="O20:O21"/>
    <mergeCell ref="P20:P21"/>
    <mergeCell ref="I22:I23"/>
    <mergeCell ref="J22:J23"/>
    <mergeCell ref="K22:K23"/>
    <mergeCell ref="L22:L23"/>
    <mergeCell ref="M22:M23"/>
    <mergeCell ref="N22:N23"/>
    <mergeCell ref="O22:O23"/>
    <mergeCell ref="P22:P23"/>
    <mergeCell ref="I20:I21"/>
    <mergeCell ref="J20:J21"/>
    <mergeCell ref="K20:K21"/>
    <mergeCell ref="L20:L21"/>
    <mergeCell ref="M20:M21"/>
    <mergeCell ref="A20:A27"/>
    <mergeCell ref="B20:B27"/>
    <mergeCell ref="C20:C27"/>
    <mergeCell ref="D20:D27"/>
    <mergeCell ref="N20:N21"/>
    <mergeCell ref="E20:E23"/>
    <mergeCell ref="F20:F27"/>
    <mergeCell ref="G20:G27"/>
    <mergeCell ref="H20:H27"/>
    <mergeCell ref="E3:E7"/>
    <mergeCell ref="J5:J7"/>
    <mergeCell ref="F12:F19"/>
    <mergeCell ref="G12:G19"/>
    <mergeCell ref="H12:H19"/>
    <mergeCell ref="E24:E25"/>
    <mergeCell ref="E26:E27"/>
    <mergeCell ref="E8:E9"/>
    <mergeCell ref="E10:E11"/>
    <mergeCell ref="J3:J4"/>
    <mergeCell ref="F3:F11"/>
    <mergeCell ref="G3:G11"/>
    <mergeCell ref="H3:H11"/>
    <mergeCell ref="A1:P1"/>
    <mergeCell ref="A2:B2"/>
    <mergeCell ref="A3:A11"/>
    <mergeCell ref="B3:B11"/>
    <mergeCell ref="C3:C11"/>
    <mergeCell ref="D3:D11"/>
    <mergeCell ref="P3:P4"/>
    <mergeCell ref="O3:O4"/>
    <mergeCell ref="I3:I4"/>
    <mergeCell ref="I5:I7"/>
    <mergeCell ref="M12:M13"/>
    <mergeCell ref="N12:N13"/>
    <mergeCell ref="O12:O13"/>
    <mergeCell ref="P12:P13"/>
    <mergeCell ref="I14:I15"/>
    <mergeCell ref="J14:J15"/>
    <mergeCell ref="K14:K15"/>
    <mergeCell ref="L14:L15"/>
    <mergeCell ref="M14:M15"/>
    <mergeCell ref="N14:N15"/>
    <mergeCell ref="O14:O15"/>
    <mergeCell ref="P14:P15"/>
    <mergeCell ref="I12:I13"/>
    <mergeCell ref="J12:J13"/>
    <mergeCell ref="K12:K13"/>
    <mergeCell ref="L12:L1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000"/>
  <sheetViews>
    <sheetView workbookViewId="0">
      <selection sqref="A1:A10"/>
    </sheetView>
  </sheetViews>
  <sheetFormatPr defaultColWidth="12.6328125" defaultRowHeight="15" customHeight="1"/>
  <cols>
    <col min="1" max="1" width="3.6328125" customWidth="1"/>
    <col min="2" max="7" width="6.36328125" customWidth="1"/>
    <col min="8" max="26" width="11" customWidth="1"/>
  </cols>
  <sheetData>
    <row r="1" spans="1:7" ht="15.75" customHeight="1">
      <c r="A1" s="44" t="s">
        <v>97</v>
      </c>
      <c r="B1" s="18"/>
      <c r="C1" s="18"/>
      <c r="D1" s="19"/>
      <c r="E1" s="19"/>
      <c r="F1" s="19"/>
      <c r="G1" s="19"/>
    </row>
    <row r="2" spans="1:7" ht="15.75" customHeight="1">
      <c r="A2" s="25"/>
      <c r="B2" s="18"/>
      <c r="C2" s="20">
        <v>45323</v>
      </c>
      <c r="D2" s="20"/>
      <c r="E2" s="19"/>
      <c r="F2" s="19">
        <v>1</v>
      </c>
      <c r="G2" s="19"/>
    </row>
    <row r="3" spans="1:7" ht="15.75" customHeight="1">
      <c r="A3" s="25"/>
      <c r="B3" s="18"/>
      <c r="C3" s="21"/>
      <c r="D3" s="18"/>
      <c r="E3" s="20">
        <v>45352</v>
      </c>
      <c r="F3" s="19"/>
      <c r="G3" s="19"/>
    </row>
    <row r="4" spans="1:7" ht="15.75" customHeight="1">
      <c r="A4" s="25"/>
      <c r="B4" s="18"/>
      <c r="C4" s="20"/>
      <c r="D4" s="18"/>
      <c r="E4" s="18">
        <v>2</v>
      </c>
      <c r="F4" s="18"/>
      <c r="G4" s="19"/>
    </row>
    <row r="5" spans="1:7" ht="15.75" customHeight="1">
      <c r="A5" s="25"/>
      <c r="B5" s="18"/>
      <c r="C5" s="20">
        <v>45353</v>
      </c>
      <c r="D5" s="18"/>
      <c r="E5" s="18"/>
      <c r="F5" s="18">
        <v>3</v>
      </c>
      <c r="G5" s="18"/>
    </row>
    <row r="6" spans="1:7" ht="15.75" customHeight="1">
      <c r="A6" s="25"/>
      <c r="B6" s="22"/>
      <c r="C6" s="18"/>
      <c r="D6" s="20">
        <v>45294</v>
      </c>
      <c r="E6" s="20">
        <v>45324</v>
      </c>
      <c r="F6" s="18"/>
      <c r="G6" s="18"/>
    </row>
    <row r="7" spans="1:7" ht="15.75" customHeight="1">
      <c r="A7" s="25"/>
      <c r="B7" s="22"/>
      <c r="C7" s="22"/>
      <c r="D7" s="18"/>
      <c r="E7" s="18"/>
      <c r="F7" s="18"/>
      <c r="G7" s="18"/>
    </row>
    <row r="8" spans="1:7" ht="15.75" customHeight="1">
      <c r="A8" s="25"/>
      <c r="B8" s="22"/>
      <c r="C8" s="22"/>
      <c r="D8" s="22"/>
      <c r="E8" s="18"/>
      <c r="F8" s="18"/>
      <c r="G8" s="18"/>
    </row>
    <row r="9" spans="1:7" ht="15.75" customHeight="1">
      <c r="A9" s="25"/>
      <c r="B9" s="22"/>
      <c r="C9" s="22"/>
      <c r="D9" s="22"/>
      <c r="E9" s="23"/>
      <c r="F9" s="18"/>
      <c r="G9" s="18"/>
    </row>
    <row r="10" spans="1:7" ht="15.75" customHeight="1">
      <c r="A10" s="25"/>
      <c r="B10" s="45" t="s">
        <v>98</v>
      </c>
      <c r="C10" s="25"/>
      <c r="D10" s="25"/>
      <c r="E10" s="25"/>
      <c r="F10" s="25"/>
      <c r="G10" s="25"/>
    </row>
    <row r="11" spans="1:7" ht="15.75" customHeight="1"/>
    <row r="12" spans="1:7" ht="15.75" customHeight="1"/>
    <row r="13" spans="1:7" ht="15.75" customHeight="1"/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10"/>
    <mergeCell ref="B10:G1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Риски</vt:lpstr>
      <vt:lpstr>Пример</vt:lpstr>
      <vt:lpstr>Пример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Бармичев Григорий Андреевич</cp:lastModifiedBy>
  <dcterms:modified xsi:type="dcterms:W3CDTF">2025-12-13T09:08:54Z</dcterms:modified>
</cp:coreProperties>
</file>